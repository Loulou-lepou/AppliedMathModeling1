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0B13C963-D364-E14A-AEF2-56C17DF51073}" xr6:coauthVersionLast="47" xr6:coauthVersionMax="47" xr10:uidLastSave="{00000000-0000-0000-0000-000000000000}"/>
  <bookViews>
    <workbookView xWindow="0" yWindow="500" windowWidth="28800" windowHeight="16540" activeTab="7" xr2:uid="{3A1916E8-314D-F741-B077-1ACBFDA59FA6}"/>
  </bookViews>
  <sheets>
    <sheet name="MockTest_E1_c_d" sheetId="10" r:id="rId1"/>
    <sheet name="MockTest_E1_Ans" sheetId="16" r:id="rId2"/>
    <sheet name="MockTest_E1_SA" sheetId="17" r:id="rId3"/>
    <sheet name="Chap8_E18" sheetId="18" r:id="rId4"/>
    <sheet name="Chap8_E18_Ans" sheetId="19" r:id="rId5"/>
    <sheet name="Chap8_E18_SA" sheetId="20" r:id="rId6"/>
    <sheet name="Chap8_E28" sheetId="21" r:id="rId7"/>
    <sheet name="chap8_E28_SA" sheetId="23" r:id="rId8"/>
    <sheet name="Chap8_RMC" sheetId="5" r:id="rId9"/>
    <sheet name="chap8_RMC_Ans" sheetId="6" r:id="rId10"/>
    <sheet name="chap8_RMC_SA" sheetId="7" r:id="rId11"/>
  </sheets>
  <definedNames>
    <definedName name="solver_adj" localSheetId="3" hidden="1">Chap8_E18!$B$14:$C$15</definedName>
    <definedName name="solver_adj" localSheetId="6" hidden="1">Chap8_E28!$B$13:$B$15</definedName>
    <definedName name="solver_adj" localSheetId="8" hidden="1">Chap8_RMC!$B$16:$C$16</definedName>
    <definedName name="solver_adj" localSheetId="0" hidden="1">MockTest_E1_c_d!$B$14:$B$17</definedName>
    <definedName name="solver_cvg" localSheetId="3" hidden="1">0.0001</definedName>
    <definedName name="solver_cvg" localSheetId="6" hidden="1">0.0001</definedName>
    <definedName name="solver_cvg" localSheetId="8" hidden="1">0.0001</definedName>
    <definedName name="solver_cvg" localSheetId="0" hidden="1">0.0001</definedName>
    <definedName name="solver_drv" localSheetId="3" hidden="1">1</definedName>
    <definedName name="solver_drv" localSheetId="6" hidden="1">1</definedName>
    <definedName name="solver_drv" localSheetId="8" hidden="1">1</definedName>
    <definedName name="solver_drv" localSheetId="0" hidden="1">1</definedName>
    <definedName name="solver_eng" localSheetId="3" hidden="1">2</definedName>
    <definedName name="solver_eng" localSheetId="6" hidden="1">2</definedName>
    <definedName name="solver_eng" localSheetId="8" hidden="1">2</definedName>
    <definedName name="solver_eng" localSheetId="0" hidden="1">2</definedName>
    <definedName name="solver_itr" localSheetId="3" hidden="1">2147483647</definedName>
    <definedName name="solver_itr" localSheetId="6" hidden="1">2147483647</definedName>
    <definedName name="solver_itr" localSheetId="8" hidden="1">2147483647</definedName>
    <definedName name="solver_itr" localSheetId="0" hidden="1">2147483647</definedName>
    <definedName name="solver_lhs1" localSheetId="3" hidden="1">Chap8_E18!$B$16</definedName>
    <definedName name="solver_lhs1" localSheetId="6" hidden="1">Chap8_E28!$B$13</definedName>
    <definedName name="solver_lhs1" localSheetId="8" hidden="1">Chap8_RMC!$D$22</definedName>
    <definedName name="solver_lhs1" localSheetId="0" hidden="1">MockTest_E1_c_d!$C$19</definedName>
    <definedName name="solver_lhs2" localSheetId="3" hidden="1">Chap8_E18!$C$16</definedName>
    <definedName name="solver_lhs2" localSheetId="6" hidden="1">Chap8_E28!$B$14</definedName>
    <definedName name="solver_lhs2" localSheetId="8" hidden="1">Chap8_RMC!$D$23</definedName>
    <definedName name="solver_lhs2" localSheetId="0" hidden="1">MockTest_E1_c_d!$D$19</definedName>
    <definedName name="solver_lhs3" localSheetId="3" hidden="1">Chap8_E18!$D$14</definedName>
    <definedName name="solver_lhs3" localSheetId="6" hidden="1">Chap8_E28!$B$15</definedName>
    <definedName name="solver_lhs3" localSheetId="8" hidden="1">Chap8_RMC!$D$24</definedName>
    <definedName name="solver_lhs3" localSheetId="0" hidden="1">MockTest_E1_c_d!$F$14</definedName>
    <definedName name="solver_lhs4" localSheetId="3" hidden="1">Chap8_E18!$D$15</definedName>
    <definedName name="solver_lhs4" localSheetId="6" hidden="1">Chap8_E28!$B$16</definedName>
    <definedName name="solver_lhs4" localSheetId="0" hidden="1">MockTest_E1_c_d!$F$15</definedName>
    <definedName name="solver_lhs5" localSheetId="6" hidden="1">Chap8_E28!$D$16</definedName>
    <definedName name="solver_lhs5" localSheetId="0" hidden="1">MockTest_E1_c_d!$F$16</definedName>
    <definedName name="solver_lin" localSheetId="3" hidden="1">1</definedName>
    <definedName name="solver_lin" localSheetId="6" hidden="1">1</definedName>
    <definedName name="solver_lin" localSheetId="8" hidden="1">1</definedName>
    <definedName name="solver_lin" localSheetId="0" hidden="1">1</definedName>
    <definedName name="solver_mip" localSheetId="3" hidden="1">2147483647</definedName>
    <definedName name="solver_mip" localSheetId="6" hidden="1">2147483647</definedName>
    <definedName name="solver_mip" localSheetId="8" hidden="1">2147483647</definedName>
    <definedName name="solver_mip" localSheetId="0" hidden="1">2147483647</definedName>
    <definedName name="solver_mni" localSheetId="3" hidden="1">30</definedName>
    <definedName name="solver_mni" localSheetId="6" hidden="1">30</definedName>
    <definedName name="solver_mni" localSheetId="8" hidden="1">30</definedName>
    <definedName name="solver_mni" localSheetId="0" hidden="1">30</definedName>
    <definedName name="solver_mrt" localSheetId="3" hidden="1">0.075</definedName>
    <definedName name="solver_mrt" localSheetId="6" hidden="1">0.075</definedName>
    <definedName name="solver_mrt" localSheetId="8" hidden="1">0.075</definedName>
    <definedName name="solver_mrt" localSheetId="0" hidden="1">0.075</definedName>
    <definedName name="solver_msl" localSheetId="3" hidden="1">2</definedName>
    <definedName name="solver_msl" localSheetId="6" hidden="1">2</definedName>
    <definedName name="solver_msl" localSheetId="8" hidden="1">2</definedName>
    <definedName name="solver_msl" localSheetId="0" hidden="1">2</definedName>
    <definedName name="solver_neg" localSheetId="3" hidden="1">1</definedName>
    <definedName name="solver_neg" localSheetId="6" hidden="1">1</definedName>
    <definedName name="solver_neg" localSheetId="8" hidden="1">1</definedName>
    <definedName name="solver_neg" localSheetId="0" hidden="1">1</definedName>
    <definedName name="solver_nod" localSheetId="3" hidden="1">2147483647</definedName>
    <definedName name="solver_nod" localSheetId="6" hidden="1">2147483647</definedName>
    <definedName name="solver_nod" localSheetId="8" hidden="1">2147483647</definedName>
    <definedName name="solver_nod" localSheetId="0" hidden="1">2147483647</definedName>
    <definedName name="solver_num" localSheetId="3" hidden="1">4</definedName>
    <definedName name="solver_num" localSheetId="6" hidden="1">5</definedName>
    <definedName name="solver_num" localSheetId="8" hidden="1">3</definedName>
    <definedName name="solver_num" localSheetId="0" hidden="1">5</definedName>
    <definedName name="solver_opt" localSheetId="3" hidden="1">Chap8_E18!$B$10</definedName>
    <definedName name="solver_opt" localSheetId="6" hidden="1">Chap8_E28!$B$10</definedName>
    <definedName name="solver_opt" localSheetId="8" hidden="1">Chap8_RMC!$B$18</definedName>
    <definedName name="solver_opt" localSheetId="0" hidden="1">MockTest_E1_c_d!$C$11</definedName>
    <definedName name="solver_pre" localSheetId="3" hidden="1">0.000001</definedName>
    <definedName name="solver_pre" localSheetId="6" hidden="1">0.000001</definedName>
    <definedName name="solver_pre" localSheetId="8" hidden="1">0.000001</definedName>
    <definedName name="solver_pre" localSheetId="0" hidden="1">0.000001</definedName>
    <definedName name="solver_rbv" localSheetId="3" hidden="1">1</definedName>
    <definedName name="solver_rbv" localSheetId="6" hidden="1">1</definedName>
    <definedName name="solver_rbv" localSheetId="8" hidden="1">1</definedName>
    <definedName name="solver_rbv" localSheetId="0" hidden="1">1</definedName>
    <definedName name="solver_rel1" localSheetId="3" hidden="1">1</definedName>
    <definedName name="solver_rel1" localSheetId="6" hidden="1">3</definedName>
    <definedName name="solver_rel1" localSheetId="8" hidden="1">1</definedName>
    <definedName name="solver_rel1" localSheetId="0" hidden="1">1</definedName>
    <definedName name="solver_rel2" localSheetId="3" hidden="1">1</definedName>
    <definedName name="solver_rel2" localSheetId="6" hidden="1">3</definedName>
    <definedName name="solver_rel2" localSheetId="8" hidden="1">1</definedName>
    <definedName name="solver_rel2" localSheetId="0" hidden="1">1</definedName>
    <definedName name="solver_rel3" localSheetId="3" hidden="1">3</definedName>
    <definedName name="solver_rel3" localSheetId="6" hidden="1">3</definedName>
    <definedName name="solver_rel3" localSheetId="8" hidden="1">1</definedName>
    <definedName name="solver_rel3" localSheetId="0" hidden="1">3</definedName>
    <definedName name="solver_rel4" localSheetId="3" hidden="1">3</definedName>
    <definedName name="solver_rel4" localSheetId="6" hidden="1">1</definedName>
    <definedName name="solver_rel4" localSheetId="0" hidden="1">3</definedName>
    <definedName name="solver_rel5" localSheetId="6" hidden="1">1</definedName>
    <definedName name="solver_rel5" localSheetId="0" hidden="1">3</definedName>
    <definedName name="solver_rhs1" localSheetId="3" hidden="1">Chap8_E18!$B$18</definedName>
    <definedName name="solver_rhs1" localSheetId="6" hidden="1">Chap8_E28!$E$13</definedName>
    <definedName name="solver_rhs1" localSheetId="8" hidden="1">Chap8_RMC!$F$22</definedName>
    <definedName name="solver_rhs1" localSheetId="0" hidden="1">MockTest_E1_c_d!$C$21</definedName>
    <definedName name="solver_rhs2" localSheetId="3" hidden="1">Chap8_E18!$C$18</definedName>
    <definedName name="solver_rhs2" localSheetId="6" hidden="1">Chap8_E28!$E$14</definedName>
    <definedName name="solver_rhs2" localSheetId="8" hidden="1">Chap8_RMC!$F$23</definedName>
    <definedName name="solver_rhs2" localSheetId="0" hidden="1">MockTest_E1_c_d!$D$21</definedName>
    <definedName name="solver_rhs3" localSheetId="3" hidden="1">Chap8_E18!$F$14</definedName>
    <definedName name="solver_rhs3" localSheetId="6" hidden="1">Chap8_E28!$E$15</definedName>
    <definedName name="solver_rhs3" localSheetId="8" hidden="1">Chap8_RMC!$F$24</definedName>
    <definedName name="solver_rhs3" localSheetId="0" hidden="1">MockTest_E1_c_d!$H$14</definedName>
    <definedName name="solver_rhs4" localSheetId="3" hidden="1">Chap8_E18!$F$15</definedName>
    <definedName name="solver_rhs4" localSheetId="6" hidden="1">Chap8_E28!$B$18</definedName>
    <definedName name="solver_rhs4" localSheetId="0" hidden="1">MockTest_E1_c_d!$H$15</definedName>
    <definedName name="solver_rhs5" localSheetId="6" hidden="1">Chap8_E28!$D$18</definedName>
    <definedName name="solver_rhs5" localSheetId="0" hidden="1">MockTest_E1_c_d!$H$16</definedName>
    <definedName name="solver_rlx" localSheetId="3" hidden="1">2</definedName>
    <definedName name="solver_rlx" localSheetId="6" hidden="1">2</definedName>
    <definedName name="solver_rlx" localSheetId="8" hidden="1">2</definedName>
    <definedName name="solver_rlx" localSheetId="0" hidden="1">1</definedName>
    <definedName name="solver_rsd" localSheetId="3" hidden="1">0</definedName>
    <definedName name="solver_rsd" localSheetId="6" hidden="1">0</definedName>
    <definedName name="solver_rsd" localSheetId="8" hidden="1">0</definedName>
    <definedName name="solver_rsd" localSheetId="0" hidden="1">0</definedName>
    <definedName name="solver_scl" localSheetId="3" hidden="1">1</definedName>
    <definedName name="solver_scl" localSheetId="6" hidden="1">1</definedName>
    <definedName name="solver_scl" localSheetId="8" hidden="1">1</definedName>
    <definedName name="solver_scl" localSheetId="0" hidden="1">2</definedName>
    <definedName name="solver_sho" localSheetId="3" hidden="1">2</definedName>
    <definedName name="solver_sho" localSheetId="6" hidden="1">2</definedName>
    <definedName name="solver_sho" localSheetId="8" hidden="1">2</definedName>
    <definedName name="solver_sho" localSheetId="0" hidden="1">2</definedName>
    <definedName name="solver_ssz" localSheetId="3" hidden="1">100</definedName>
    <definedName name="solver_ssz" localSheetId="6" hidden="1">100</definedName>
    <definedName name="solver_ssz" localSheetId="8" hidden="1">100</definedName>
    <definedName name="solver_ssz" localSheetId="0" hidden="1">100</definedName>
    <definedName name="solver_tim" localSheetId="3" hidden="1">2147483647</definedName>
    <definedName name="solver_tim" localSheetId="6" hidden="1">2147483647</definedName>
    <definedName name="solver_tim" localSheetId="8" hidden="1">2147483647</definedName>
    <definedName name="solver_tim" localSheetId="0" hidden="1">2147483647</definedName>
    <definedName name="solver_tol" localSheetId="3" hidden="1">0.01</definedName>
    <definedName name="solver_tol" localSheetId="6" hidden="1">0.01</definedName>
    <definedName name="solver_tol" localSheetId="8" hidden="1">0.01</definedName>
    <definedName name="solver_tol" localSheetId="0" hidden="1">0.01</definedName>
    <definedName name="solver_typ" localSheetId="3" hidden="1">2</definedName>
    <definedName name="solver_typ" localSheetId="6" hidden="1">1</definedName>
    <definedName name="solver_typ" localSheetId="8" hidden="1">1</definedName>
    <definedName name="solver_typ" localSheetId="0" hidden="1">1</definedName>
    <definedName name="solver_val" localSheetId="3" hidden="1">0</definedName>
    <definedName name="solver_val" localSheetId="6" hidden="1">0</definedName>
    <definedName name="solver_val" localSheetId="8" hidden="1">0</definedName>
    <definedName name="solver_val" localSheetId="0" hidden="1">0</definedName>
    <definedName name="solver_ver" localSheetId="3" hidden="1">2</definedName>
    <definedName name="solver_ver" localSheetId="6" hidden="1">2</definedName>
    <definedName name="solver_ver" localSheetId="8" hidden="1">2</definedName>
    <definedName name="solver_ver" localSheetId="0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1" l="1"/>
  <c r="D18" i="21" s="1"/>
  <c r="D16" i="21"/>
  <c r="B16" i="21"/>
  <c r="B10" i="21"/>
  <c r="E15" i="21"/>
  <c r="E14" i="21"/>
  <c r="E13" i="21"/>
  <c r="D6" i="21"/>
  <c r="D5" i="21"/>
  <c r="D4" i="21"/>
  <c r="C16" i="18"/>
  <c r="B16" i="18"/>
  <c r="D15" i="18"/>
  <c r="D14" i="18"/>
  <c r="B10" i="18"/>
  <c r="C11" i="10"/>
  <c r="D19" i="10"/>
  <c r="C19" i="10"/>
  <c r="F16" i="10"/>
  <c r="F15" i="10"/>
  <c r="F14" i="10"/>
  <c r="C21" i="10"/>
  <c r="D24" i="5"/>
  <c r="D23" i="5"/>
  <c r="D22" i="5"/>
  <c r="B18" i="5"/>
</calcChain>
</file>

<file path=xl/sharedStrings.xml><?xml version="1.0" encoding="utf-8"?>
<sst xmlns="http://schemas.openxmlformats.org/spreadsheetml/2006/main" count="448" uniqueCount="174">
  <si>
    <t>Robots</t>
  </si>
  <si>
    <t>A</t>
  </si>
  <si>
    <t>B</t>
  </si>
  <si>
    <t>C</t>
  </si>
  <si>
    <t>D</t>
  </si>
  <si>
    <t>circuits per unit</t>
  </si>
  <si>
    <t>hours per unit</t>
  </si>
  <si>
    <t>profit ($) per unit</t>
  </si>
  <si>
    <t>Minimum</t>
  </si>
  <si>
    <t>Limit</t>
  </si>
  <si>
    <t>&lt;= 1000</t>
  </si>
  <si>
    <t>&lt;= 350</t>
  </si>
  <si>
    <t>C + D &gt;= 60</t>
  </si>
  <si>
    <t>&lt;=</t>
  </si>
  <si>
    <t>Model</t>
  </si>
  <si>
    <t>Microsoft Excel 16.77 Sensitivity Report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</si>
  <si>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</si>
  <si>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</si>
  <si>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</si>
  <si>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</si>
  <si>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</si>
  <si>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</si>
  <si>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</si>
  <si>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</si>
  <si>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</si>
  <si>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</si>
  <si>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</si>
  <si>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</si>
  <si>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</si>
  <si>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</si>
  <si>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</si>
  <si>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</si>
  <si>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</si>
  <si>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$B$16</t>
  </si>
  <si>
    <t>$C$16</t>
  </si>
  <si>
    <t>$F$14</t>
  </si>
  <si>
    <t>Robot A</t>
  </si>
  <si>
    <t>Robot B</t>
  </si>
  <si>
    <t>Robot C</t>
  </si>
  <si>
    <t>Robot D</t>
  </si>
  <si>
    <t>RMC</t>
  </si>
  <si>
    <t>Material Requirements</t>
  </si>
  <si>
    <t>Material</t>
  </si>
  <si>
    <t>Material 1</t>
  </si>
  <si>
    <t>Material 2</t>
  </si>
  <si>
    <t>Material 3</t>
  </si>
  <si>
    <t>Fuel Additive</t>
  </si>
  <si>
    <t>Solvent Base</t>
  </si>
  <si>
    <t>Amount available</t>
  </si>
  <si>
    <t>Profit per ton</t>
  </si>
  <si>
    <t>Decision variables</t>
  </si>
  <si>
    <t>Tons produced</t>
  </si>
  <si>
    <t>Maximize total profit</t>
  </si>
  <si>
    <t>Amount used</t>
  </si>
  <si>
    <t>Microsoft Excel 16.77 Answer Report</t>
  </si>
  <si>
    <t>Worksheet: [Mock_Test.xlsx]Sheet3</t>
  </si>
  <si>
    <t>Report Created: 08/05/2026 20:52:57</t>
  </si>
  <si>
    <t>Result: Solver found a solution.  All constraints and optimality conditions are satisfied.</t>
  </si>
  <si>
    <t>Solver Engine</t>
  </si>
  <si>
    <t>Engine: Simplex LP</t>
  </si>
  <si>
    <t>Solution Time: 1838.677 Seconds.</t>
  </si>
  <si>
    <t>Iterations: 2 Subproblems: 0</t>
  </si>
  <si>
    <t>Solver Options</t>
  </si>
  <si>
    <t>Max Time Unlimited, Iterations Unlimited, Precision 1E-06, Use Automatic Scaling</t>
  </si>
  <si>
    <t>Max Subproblems Unlimited, Max Integer Sols Unlimited, Integer Tolerance 1%, Assume NonNegative</t>
  </si>
  <si>
    <t>Objective Cell (Max)</t>
  </si>
  <si>
    <t>Original Value</t>
  </si>
  <si>
    <t>Final Value</t>
  </si>
  <si>
    <t>Integer</t>
  </si>
  <si>
    <t>Cell Value</t>
  </si>
  <si>
    <t>Formula</t>
  </si>
  <si>
    <t>Status</t>
  </si>
  <si>
    <t>Slack</t>
  </si>
  <si>
    <t>$B$18</t>
  </si>
  <si>
    <t>Maximize total profit Fuel Additive</t>
  </si>
  <si>
    <t>Tons produced Fuel Additive</t>
  </si>
  <si>
    <t>Contin</t>
  </si>
  <si>
    <t>Tons produced Solvent Base</t>
  </si>
  <si>
    <t>$D$22</t>
  </si>
  <si>
    <t>Material 1 Amount used</t>
  </si>
  <si>
    <t>$D$22&lt;=$F$22</t>
  </si>
  <si>
    <t>Binding</t>
  </si>
  <si>
    <t>$D$23</t>
  </si>
  <si>
    <t>Material 2 Amount used</t>
  </si>
  <si>
    <t>$D$23&lt;=$F$23</t>
  </si>
  <si>
    <t>Not Binding</t>
  </si>
  <si>
    <t>$D$24</t>
  </si>
  <si>
    <t>Material 3 Amount used</t>
  </si>
  <si>
    <t>$D$24&lt;=$F$24</t>
  </si>
  <si>
    <t>Amount used circuits per unit</t>
  </si>
  <si>
    <t>Robotix</t>
  </si>
  <si>
    <t>Hours per unit</t>
  </si>
  <si>
    <t>Profits per unit</t>
  </si>
  <si>
    <t>&gt;=</t>
  </si>
  <si>
    <t>maximize profit contribution</t>
  </si>
  <si>
    <t>$B$14</t>
  </si>
  <si>
    <t>$B$15</t>
  </si>
  <si>
    <t>$B$17</t>
  </si>
  <si>
    <t>$C$19</t>
  </si>
  <si>
    <t>$D$19</t>
  </si>
  <si>
    <t>Amount used Hours per unit</t>
  </si>
  <si>
    <t>$F$15</t>
  </si>
  <si>
    <t>$F$16</t>
  </si>
  <si>
    <t>Worksheet: [Mock_Test.xlsx]MockTest_E1_c_d</t>
  </si>
  <si>
    <t>Iterations: 5 Subproblems: 0</t>
  </si>
  <si>
    <t>Max Time Unlimited, Iterations Unlimited, Precision 0.000001</t>
  </si>
  <si>
    <t>Max Subproblems Unlimited, Max Integer Sols Unlimited, Integer Tolerance 1%, Solve Without Integer Constraints, Assume NonNegative</t>
  </si>
  <si>
    <t>$C$11</t>
  </si>
  <si>
    <t>maximize profit contribution &lt;= 350</t>
  </si>
  <si>
    <t>$C$19&lt;=$C$21</t>
  </si>
  <si>
    <t>$D$19&lt;=$D$21</t>
  </si>
  <si>
    <t>$F$14&gt;=$H$14</t>
  </si>
  <si>
    <t>$F$15&gt;=$H$15</t>
  </si>
  <si>
    <t>$F$16&gt;=$H$16</t>
  </si>
  <si>
    <t>Report Created: 08/05/2026 21:42:41</t>
  </si>
  <si>
    <t>Solution Time: 2390.392 Seconds.</t>
  </si>
  <si>
    <t>A Robots</t>
  </si>
  <si>
    <t>B Robots</t>
  </si>
  <si>
    <t>C Robots</t>
  </si>
  <si>
    <t>D Robots</t>
  </si>
  <si>
    <t>Davison Electronics  / LCD TV monitors</t>
  </si>
  <si>
    <t>New Line</t>
  </si>
  <si>
    <t>Production Cost per Unit</t>
  </si>
  <si>
    <t>Production Line Capacity</t>
  </si>
  <si>
    <t>Old Line</t>
  </si>
  <si>
    <t>Minimum production requirement</t>
  </si>
  <si>
    <t>minimum cost production plan</t>
  </si>
  <si>
    <t>Row sum</t>
  </si>
  <si>
    <t>Col sum</t>
  </si>
  <si>
    <t>Worksheet: [Mock_Test.xlsx]Chap8_E18</t>
  </si>
  <si>
    <t>Report Created: 09/05/2026 21:30:07</t>
  </si>
  <si>
    <t>Solution Time: 2160.047 Seconds.</t>
  </si>
  <si>
    <t>Iterations: 4 Subproblems: 0</t>
  </si>
  <si>
    <t>Objective Cell (Min)</t>
  </si>
  <si>
    <t>$B$10</t>
  </si>
  <si>
    <t>minimum cost production plan New Line</t>
  </si>
  <si>
    <t>A New Line</t>
  </si>
  <si>
    <t>$C$14</t>
  </si>
  <si>
    <t>A Old Line</t>
  </si>
  <si>
    <t>B New Line</t>
  </si>
  <si>
    <t>$C$15</t>
  </si>
  <si>
    <t>B Old Line</t>
  </si>
  <si>
    <t>Col sum New Line</t>
  </si>
  <si>
    <t>$B$16&lt;=$B$18</t>
  </si>
  <si>
    <t>Col sum Old Line</t>
  </si>
  <si>
    <t>$C$16&lt;=$C$18</t>
  </si>
  <si>
    <t>$D$14</t>
  </si>
  <si>
    <t>A Row sum</t>
  </si>
  <si>
    <t>$D$14&gt;=$F$14</t>
  </si>
  <si>
    <t>$D$15</t>
  </si>
  <si>
    <t>B Row sum</t>
  </si>
  <si>
    <t>$D$15&gt;=$F$15</t>
  </si>
  <si>
    <t>Optimal Investment Mix Under Risk and Allocation Constraints</t>
  </si>
  <si>
    <t>Fund</t>
  </si>
  <si>
    <t>Growth</t>
  </si>
  <si>
    <t>Income Stock</t>
  </si>
  <si>
    <t>Money market</t>
  </si>
  <si>
    <t>Return</t>
  </si>
  <si>
    <t>Risk index</t>
  </si>
  <si>
    <t>Min allocation</t>
  </si>
  <si>
    <t>Max_limit</t>
  </si>
  <si>
    <t xml:space="preserve">Model </t>
  </si>
  <si>
    <t xml:space="preserve">maximize total return </t>
  </si>
  <si>
    <t>Sum / weighted sum</t>
  </si>
  <si>
    <t>Worksheet: [Mock_Test.xlsx]Chap8_E28</t>
  </si>
  <si>
    <t>$B$13</t>
  </si>
  <si>
    <t>Sum / weighted sum Fund</t>
  </si>
  <si>
    <t>$D$16</t>
  </si>
  <si>
    <t>Sum / weighted sum Risk index</t>
  </si>
  <si>
    <t>Money Market</t>
  </si>
  <si>
    <t>Report Created: 10/05/2026 10:58:07</t>
  </si>
  <si>
    <t>Growth Fund</t>
  </si>
  <si>
    <t>Income Stock Fund</t>
  </si>
  <si>
    <t>Money Market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</si>
</sst>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1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0" xfId="0" applyFont="1"/>
    <xf numFmtId="0" fontId="0" fillId="0" borderId="11" xfId="0" applyBorder="1"/>
    <xf numFmtId="0" fontId="0" fillId="0" borderId="12" xfId="0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2" borderId="0" xfId="0" applyFill="1"/>
    <xf numFmtId="0" fontId="2" fillId="0" borderId="13" xfId="0" applyFont="1" applyBorder="1" applyAlignment="1">
      <alignment horizontal="center"/>
    </xf>
    <xf numFmtId="0" fontId="0" fillId="4" borderId="0" xfId="0" applyFill="1"/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3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8" borderId="0" xfId="0" applyFill="1" applyAlignment="1">
      <alignment horizontal="center"/>
    </xf>
    <xf numFmtId="0" fontId="0" fillId="0" borderId="11" xfId="0" applyFill="1" applyBorder="1" applyAlignment="1"/>
    <xf numFmtId="0" fontId="0" fillId="0" borderId="12" xfId="0" applyFill="1" applyBorder="1" applyAlignment="1"/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A99A-AE07-5F47-AAAF-26ECC51FA707}">
  <dimension ref="A1:H21"/>
  <sheetViews>
    <sheetView zoomScale="141" zoomScaleNormal="141" workbookViewId="0">
      <selection activeCell="F21" sqref="F21"/>
    </sheetView>
  </sheetViews>
  <sheetFormatPr baseColWidth="10" defaultRowHeight="16" x14ac:dyDescent="0.2"/>
  <cols>
    <col min="1" max="1" width="12.83203125" customWidth="1"/>
    <col min="2" max="2" width="25" customWidth="1"/>
    <col min="3" max="3" width="18.1640625" customWidth="1"/>
    <col min="4" max="4" width="18.33203125" customWidth="1"/>
    <col min="5" max="5" width="23" customWidth="1"/>
  </cols>
  <sheetData>
    <row r="1" spans="1:8" x14ac:dyDescent="0.2">
      <c r="A1" t="s">
        <v>90</v>
      </c>
    </row>
    <row r="2" spans="1:8" ht="17" thickBot="1" x14ac:dyDescent="0.25"/>
    <row r="3" spans="1:8" x14ac:dyDescent="0.2">
      <c r="A3" s="2" t="s">
        <v>0</v>
      </c>
      <c r="B3" s="3" t="s">
        <v>5</v>
      </c>
      <c r="C3" s="3" t="s">
        <v>6</v>
      </c>
      <c r="D3" s="3" t="s">
        <v>7</v>
      </c>
      <c r="E3" s="4" t="s">
        <v>8</v>
      </c>
    </row>
    <row r="4" spans="1:8" x14ac:dyDescent="0.2">
      <c r="A4" s="5" t="s">
        <v>36</v>
      </c>
      <c r="B4" s="1">
        <v>8</v>
      </c>
      <c r="C4" s="1">
        <v>2</v>
      </c>
      <c r="D4" s="1">
        <v>400</v>
      </c>
      <c r="E4" s="6">
        <v>30</v>
      </c>
    </row>
    <row r="5" spans="1:8" x14ac:dyDescent="0.2">
      <c r="A5" s="5" t="s">
        <v>37</v>
      </c>
      <c r="B5" s="1">
        <v>5</v>
      </c>
      <c r="C5" s="1">
        <v>3</v>
      </c>
      <c r="D5" s="1">
        <v>250</v>
      </c>
      <c r="E5" s="6">
        <v>40</v>
      </c>
    </row>
    <row r="6" spans="1:8" x14ac:dyDescent="0.2">
      <c r="A6" s="5" t="s">
        <v>38</v>
      </c>
      <c r="B6" s="1">
        <v>6</v>
      </c>
      <c r="C6" s="1">
        <v>2</v>
      </c>
      <c r="D6" s="1">
        <v>300</v>
      </c>
      <c r="E6" s="6" t="s">
        <v>12</v>
      </c>
    </row>
    <row r="7" spans="1:8" x14ac:dyDescent="0.2">
      <c r="A7" s="5" t="s">
        <v>39</v>
      </c>
      <c r="B7" s="1">
        <v>6</v>
      </c>
      <c r="C7" s="1">
        <v>4</v>
      </c>
      <c r="D7" s="1">
        <v>500</v>
      </c>
      <c r="E7" s="6"/>
    </row>
    <row r="8" spans="1:8" ht="17" thickBot="1" x14ac:dyDescent="0.25">
      <c r="A8" s="7" t="s">
        <v>9</v>
      </c>
      <c r="B8" s="8" t="s">
        <v>10</v>
      </c>
      <c r="C8" s="8" t="s">
        <v>11</v>
      </c>
      <c r="D8" s="8"/>
      <c r="E8" s="9"/>
    </row>
    <row r="11" spans="1:8" x14ac:dyDescent="0.2">
      <c r="A11" t="s">
        <v>14</v>
      </c>
      <c r="B11" t="s">
        <v>94</v>
      </c>
      <c r="C11" s="15">
        <f>SUMPRODUCT(B14:B17, E14:E17)</f>
        <v>50000</v>
      </c>
    </row>
    <row r="13" spans="1:8" x14ac:dyDescent="0.2">
      <c r="B13" t="s">
        <v>0</v>
      </c>
      <c r="C13" t="s">
        <v>5</v>
      </c>
      <c r="D13" t="s">
        <v>91</v>
      </c>
      <c r="E13" t="s">
        <v>92</v>
      </c>
      <c r="H13" s="17" t="s">
        <v>8</v>
      </c>
    </row>
    <row r="14" spans="1:8" x14ac:dyDescent="0.2">
      <c r="A14" t="s">
        <v>1</v>
      </c>
      <c r="B14" s="15">
        <v>55</v>
      </c>
      <c r="C14" s="1">
        <v>8</v>
      </c>
      <c r="D14" s="1">
        <v>2</v>
      </c>
      <c r="E14" s="1">
        <v>400</v>
      </c>
      <c r="F14" s="20">
        <f>B14</f>
        <v>55</v>
      </c>
      <c r="G14" s="1" t="s">
        <v>93</v>
      </c>
      <c r="H14" s="17">
        <v>30</v>
      </c>
    </row>
    <row r="15" spans="1:8" x14ac:dyDescent="0.2">
      <c r="A15" t="s">
        <v>2</v>
      </c>
      <c r="B15" s="15">
        <v>40</v>
      </c>
      <c r="C15" s="1">
        <v>5</v>
      </c>
      <c r="D15" s="1">
        <v>3</v>
      </c>
      <c r="E15" s="1">
        <v>250</v>
      </c>
      <c r="F15" s="20">
        <f>B15</f>
        <v>40</v>
      </c>
      <c r="G15" s="1" t="s">
        <v>93</v>
      </c>
      <c r="H15" s="17">
        <v>40</v>
      </c>
    </row>
    <row r="16" spans="1:8" x14ac:dyDescent="0.2">
      <c r="A16" t="s">
        <v>3</v>
      </c>
      <c r="B16" s="15">
        <v>60</v>
      </c>
      <c r="C16" s="1">
        <v>6</v>
      </c>
      <c r="D16" s="1">
        <v>2</v>
      </c>
      <c r="E16" s="1">
        <v>300</v>
      </c>
      <c r="F16" s="20">
        <f>B16+B17</f>
        <v>60</v>
      </c>
      <c r="G16" s="1" t="s">
        <v>93</v>
      </c>
      <c r="H16" s="17">
        <v>60</v>
      </c>
    </row>
    <row r="17" spans="1:5" x14ac:dyDescent="0.2">
      <c r="A17" t="s">
        <v>4</v>
      </c>
      <c r="B17" s="15">
        <v>0</v>
      </c>
      <c r="C17" s="1">
        <v>6</v>
      </c>
      <c r="D17" s="1">
        <v>4</v>
      </c>
      <c r="E17" s="1">
        <v>500</v>
      </c>
    </row>
    <row r="19" spans="1:5" x14ac:dyDescent="0.2">
      <c r="A19" t="s">
        <v>53</v>
      </c>
      <c r="C19" s="19">
        <f>SUMPRODUCT($B$14:$B17, C14:C17)</f>
        <v>1000</v>
      </c>
      <c r="D19" s="19">
        <f>SUMPRODUCT($B$14:$B17, D14:D17)</f>
        <v>350</v>
      </c>
    </row>
    <row r="20" spans="1:5" x14ac:dyDescent="0.2">
      <c r="C20" s="1" t="s">
        <v>13</v>
      </c>
      <c r="D20" s="1" t="s">
        <v>13</v>
      </c>
    </row>
    <row r="21" spans="1:5" x14ac:dyDescent="0.2">
      <c r="A21" t="s">
        <v>9</v>
      </c>
      <c r="C21" s="18">
        <f>1000</f>
        <v>1000</v>
      </c>
      <c r="D21" s="18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9101-715F-5E40-B705-91C3FDC93401}">
  <dimension ref="A1:G33"/>
  <sheetViews>
    <sheetView showGridLines="0" topLeftCell="A10" zoomScale="140" zoomScaleNormal="140" workbookViewId="0">
      <selection activeCell="I35" sqref="I35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1" bestFit="1" customWidth="1"/>
    <col min="4" max="4" width="12.83203125" bestFit="1" customWidth="1"/>
    <col min="5" max="5" width="13.5" bestFit="1" customWidth="1"/>
    <col min="6" max="6" width="10.83203125" bestFit="1" customWidth="1"/>
    <col min="7" max="7" width="5.5" bestFit="1" customWidth="1"/>
  </cols>
  <sheetData>
    <row r="1" spans="1:5" x14ac:dyDescent="0.2">
      <c r="A1" s="10" t="s">
        <v>54</v>
      </c>
    </row>
    <row r="2" spans="1:5" x14ac:dyDescent="0.2">
      <c r="A2" s="10" t="s">
        <v>103</v>
      </c>
    </row>
    <row r="3" spans="1:5" x14ac:dyDescent="0.2">
      <c r="A3" s="10" t="s">
        <v>114</v>
      </c>
    </row>
    <row r="4" spans="1:5" x14ac:dyDescent="0.2">
      <c r="A4" s="10" t="s">
        <v>57</v>
      </c>
    </row>
    <row r="5" spans="1:5" x14ac:dyDescent="0.2">
      <c r="A5" s="10" t="s">
        <v>58</v>
      </c>
    </row>
    <row r="6" spans="1:5" x14ac:dyDescent="0.2">
      <c r="A6" s="10"/>
      <c r="B6" t="s">
        <v>59</v>
      </c>
    </row>
    <row r="7" spans="1:5" x14ac:dyDescent="0.2">
      <c r="A7" s="10"/>
      <c r="B7" t="s">
        <v>115</v>
      </c>
    </row>
    <row r="8" spans="1:5" x14ac:dyDescent="0.2">
      <c r="A8" s="10"/>
      <c r="B8" t="s">
        <v>104</v>
      </c>
    </row>
    <row r="9" spans="1:5" x14ac:dyDescent="0.2">
      <c r="A9" s="10" t="s">
        <v>62</v>
      </c>
    </row>
    <row r="10" spans="1:5" x14ac:dyDescent="0.2">
      <c r="B10" t="s">
        <v>105</v>
      </c>
    </row>
    <row r="11" spans="1:5" x14ac:dyDescent="0.2">
      <c r="B11" t="s">
        <v>106</v>
      </c>
    </row>
    <row r="14" spans="1:5" ht="17" thickBot="1" x14ac:dyDescent="0.25">
      <c r="A14" t="s">
        <v>65</v>
      </c>
    </row>
    <row r="15" spans="1:5" ht="17" thickBot="1" x14ac:dyDescent="0.25">
      <c r="B15" s="16" t="s">
        <v>17</v>
      </c>
      <c r="C15" s="16" t="s">
        <v>18</v>
      </c>
      <c r="D15" s="16" t="s">
        <v>66</v>
      </c>
      <c r="E15" s="16" t="s">
        <v>67</v>
      </c>
    </row>
    <row r="16" spans="1:5" ht="17" thickBot="1" x14ac:dyDescent="0.25">
      <c r="B16" s="12" t="s">
        <v>107</v>
      </c>
      <c r="C16" s="12" t="s">
        <v>108</v>
      </c>
      <c r="D16" s="12">
        <v>50000</v>
      </c>
      <c r="E16" s="12">
        <v>50000</v>
      </c>
    </row>
    <row r="19" spans="1:7" ht="17" thickBot="1" x14ac:dyDescent="0.25">
      <c r="A19" t="s">
        <v>16</v>
      </c>
    </row>
    <row r="20" spans="1:7" ht="17" thickBot="1" x14ac:dyDescent="0.25">
      <c r="B20" s="16" t="s">
        <v>17</v>
      </c>
      <c r="C20" s="16" t="s">
        <v>18</v>
      </c>
      <c r="D20" s="16" t="s">
        <v>66</v>
      </c>
      <c r="E20" s="16" t="s">
        <v>67</v>
      </c>
      <c r="F20" s="16" t="s">
        <v>68</v>
      </c>
    </row>
    <row r="21" spans="1:7" x14ac:dyDescent="0.2">
      <c r="B21" s="11" t="s">
        <v>95</v>
      </c>
      <c r="C21" s="11" t="s">
        <v>116</v>
      </c>
      <c r="D21" s="11">
        <v>55</v>
      </c>
      <c r="E21" s="11">
        <v>55</v>
      </c>
      <c r="F21" s="11" t="s">
        <v>76</v>
      </c>
    </row>
    <row r="22" spans="1:7" x14ac:dyDescent="0.2">
      <c r="B22" s="11" t="s">
        <v>96</v>
      </c>
      <c r="C22" s="11" t="s">
        <v>117</v>
      </c>
      <c r="D22" s="11">
        <v>40</v>
      </c>
      <c r="E22" s="11">
        <v>40</v>
      </c>
      <c r="F22" s="11" t="s">
        <v>76</v>
      </c>
    </row>
    <row r="23" spans="1:7" x14ac:dyDescent="0.2">
      <c r="B23" s="11" t="s">
        <v>33</v>
      </c>
      <c r="C23" s="11" t="s">
        <v>118</v>
      </c>
      <c r="D23" s="11">
        <v>60</v>
      </c>
      <c r="E23" s="11">
        <v>60</v>
      </c>
      <c r="F23" s="11" t="s">
        <v>76</v>
      </c>
    </row>
    <row r="24" spans="1:7" ht="17" thickBot="1" x14ac:dyDescent="0.25">
      <c r="B24" s="12" t="s">
        <v>97</v>
      </c>
      <c r="C24" s="12" t="s">
        <v>119</v>
      </c>
      <c r="D24" s="12">
        <v>0</v>
      </c>
      <c r="E24" s="12">
        <v>0</v>
      </c>
      <c r="F24" s="12" t="s">
        <v>76</v>
      </c>
    </row>
    <row r="27" spans="1:7" ht="17" thickBot="1" x14ac:dyDescent="0.25">
      <c r="A27" t="s">
        <v>28</v>
      </c>
    </row>
    <row r="28" spans="1:7" ht="17" thickBot="1" x14ac:dyDescent="0.25">
      <c r="B28" s="16" t="s">
        <v>17</v>
      </c>
      <c r="C28" s="16" t="s">
        <v>18</v>
      </c>
      <c r="D28" s="16" t="s">
        <v>69</v>
      </c>
      <c r="E28" s="16" t="s">
        <v>70</v>
      </c>
      <c r="F28" s="16" t="s">
        <v>71</v>
      </c>
      <c r="G28" s="16" t="s">
        <v>72</v>
      </c>
    </row>
    <row r="29" spans="1:7" x14ac:dyDescent="0.2">
      <c r="B29" s="11" t="s">
        <v>98</v>
      </c>
      <c r="C29" s="11" t="s">
        <v>89</v>
      </c>
      <c r="D29" s="11">
        <v>1000</v>
      </c>
      <c r="E29" s="11" t="s">
        <v>109</v>
      </c>
      <c r="F29" s="11" t="s">
        <v>81</v>
      </c>
      <c r="G29" s="11">
        <v>0</v>
      </c>
    </row>
    <row r="30" spans="1:7" x14ac:dyDescent="0.2">
      <c r="B30" s="11" t="s">
        <v>99</v>
      </c>
      <c r="C30" s="11" t="s">
        <v>100</v>
      </c>
      <c r="D30" s="11">
        <v>350</v>
      </c>
      <c r="E30" s="11" t="s">
        <v>110</v>
      </c>
      <c r="F30" s="11" t="s">
        <v>81</v>
      </c>
      <c r="G30" s="11">
        <v>0</v>
      </c>
    </row>
    <row r="31" spans="1:7" x14ac:dyDescent="0.2">
      <c r="B31" s="11" t="s">
        <v>35</v>
      </c>
      <c r="C31" s="11" t="s">
        <v>1</v>
      </c>
      <c r="D31" s="11">
        <v>55</v>
      </c>
      <c r="E31" s="11" t="s">
        <v>111</v>
      </c>
      <c r="F31" s="11" t="s">
        <v>85</v>
      </c>
      <c r="G31" s="11">
        <v>25</v>
      </c>
    </row>
    <row r="32" spans="1:7" x14ac:dyDescent="0.2">
      <c r="B32" s="11" t="s">
        <v>101</v>
      </c>
      <c r="C32" s="11" t="s">
        <v>2</v>
      </c>
      <c r="D32" s="11">
        <v>40</v>
      </c>
      <c r="E32" s="11" t="s">
        <v>112</v>
      </c>
      <c r="F32" s="11" t="s">
        <v>81</v>
      </c>
      <c r="G32" s="11">
        <v>0</v>
      </c>
    </row>
    <row r="33" spans="2:7" ht="17" thickBot="1" x14ac:dyDescent="0.25">
      <c r="B33" s="12" t="s">
        <v>102</v>
      </c>
      <c r="C33" s="12" t="s">
        <v>3</v>
      </c>
      <c r="D33" s="12">
        <v>60</v>
      </c>
      <c r="E33" s="12" t="s">
        <v>113</v>
      </c>
      <c r="F33" s="12" t="s">
        <v>81</v>
      </c>
      <c r="G33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DE19-6CA3-D24B-8151-6A00650FAF09}">
  <dimension ref="A1:H21"/>
  <sheetViews>
    <sheetView showGridLines="0" topLeftCell="A4" zoomScale="181" zoomScaleNormal="181" workbookViewId="0">
      <selection activeCell="J12" sqref="J12:J13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5.5" bestFit="1" customWidth="1"/>
    <col min="4" max="4" width="6.5" customWidth="1"/>
    <col min="5" max="5" width="8.1640625" bestFit="1" customWidth="1"/>
    <col min="6" max="6" width="10" bestFit="1" customWidth="1"/>
    <col min="7" max="7" width="9.33203125" bestFit="1" customWidth="1"/>
    <col min="8" max="8" width="12.1640625" bestFit="1" customWidth="1"/>
  </cols>
  <sheetData>
    <row r="1" spans="1:8" x14ac:dyDescent="0.2">
      <c r="A1" s="10" t="s">
        <v>15</v>
      </c>
    </row>
    <row r="2" spans="1:8" x14ac:dyDescent="0.2">
      <c r="A2" s="10" t="s">
        <v>103</v>
      </c>
    </row>
    <row r="3" spans="1:8" x14ac:dyDescent="0.2">
      <c r="A3" s="10" t="s">
        <v>114</v>
      </c>
    </row>
    <row r="6" spans="1:8" ht="17" thickBot="1" x14ac:dyDescent="0.25">
      <c r="A6" t="s">
        <v>16</v>
      </c>
    </row>
    <row r="7" spans="1:8" x14ac:dyDescent="0.2">
      <c r="B7" s="13"/>
      <c r="C7" s="13"/>
      <c r="D7" s="13" t="s">
        <v>19</v>
      </c>
      <c r="E7" s="13" t="s">
        <v>21</v>
      </c>
      <c r="F7" s="13" t="s">
        <v>23</v>
      </c>
      <c r="G7" s="13" t="s">
        <v>25</v>
      </c>
      <c r="H7" s="13" t="s">
        <v>25</v>
      </c>
    </row>
    <row r="8" spans="1:8" ht="17" thickBot="1" x14ac:dyDescent="0.25">
      <c r="B8" s="14" t="s">
        <v>17</v>
      </c>
      <c r="C8" s="14" t="s">
        <v>18</v>
      </c>
      <c r="D8" s="14" t="s">
        <v>20</v>
      </c>
      <c r="E8" s="14" t="s">
        <v>22</v>
      </c>
      <c r="F8" s="14" t="s">
        <v>24</v>
      </c>
      <c r="G8" s="14" t="s">
        <v>26</v>
      </c>
      <c r="H8" s="14" t="s">
        <v>27</v>
      </c>
    </row>
    <row r="9" spans="1:8" x14ac:dyDescent="0.2">
      <c r="B9" s="11" t="s">
        <v>95</v>
      </c>
      <c r="C9" s="11" t="s">
        <v>116</v>
      </c>
      <c r="D9" s="11">
        <v>55</v>
      </c>
      <c r="E9" s="11">
        <v>0</v>
      </c>
      <c r="F9" s="11">
        <v>400</v>
      </c>
      <c r="G9" s="11">
        <v>1E+30</v>
      </c>
      <c r="H9" s="11">
        <v>66.666666666666671</v>
      </c>
    </row>
    <row r="10" spans="1:8" x14ac:dyDescent="0.2">
      <c r="B10" s="11" t="s">
        <v>96</v>
      </c>
      <c r="C10" s="11" t="s">
        <v>117</v>
      </c>
      <c r="D10" s="11">
        <v>40</v>
      </c>
      <c r="E10" s="11">
        <v>0</v>
      </c>
      <c r="F10" s="11">
        <v>250</v>
      </c>
      <c r="G10" s="11">
        <v>175</v>
      </c>
      <c r="H10" s="11">
        <v>1E+30</v>
      </c>
    </row>
    <row r="11" spans="1:8" x14ac:dyDescent="0.2">
      <c r="B11" s="11" t="s">
        <v>33</v>
      </c>
      <c r="C11" s="11" t="s">
        <v>118</v>
      </c>
      <c r="D11" s="11">
        <v>60</v>
      </c>
      <c r="E11" s="11">
        <v>0</v>
      </c>
      <c r="F11" s="11">
        <v>300</v>
      </c>
      <c r="G11" s="11">
        <v>40</v>
      </c>
      <c r="H11" s="11">
        <v>200</v>
      </c>
    </row>
    <row r="12" spans="1:8" ht="17" thickBot="1" x14ac:dyDescent="0.25">
      <c r="B12" s="12" t="s">
        <v>97</v>
      </c>
      <c r="C12" s="12" t="s">
        <v>119</v>
      </c>
      <c r="D12" s="12">
        <v>0</v>
      </c>
      <c r="E12" s="12">
        <v>0</v>
      </c>
      <c r="F12" s="12">
        <v>500</v>
      </c>
      <c r="G12" s="12">
        <v>200</v>
      </c>
      <c r="H12" s="12">
        <v>200</v>
      </c>
    </row>
    <row r="14" spans="1:8" ht="17" thickBot="1" x14ac:dyDescent="0.25">
      <c r="A14" t="s">
        <v>28</v>
      </c>
    </row>
    <row r="15" spans="1:8" x14ac:dyDescent="0.2">
      <c r="B15" s="13"/>
      <c r="C15" s="13"/>
      <c r="D15" s="13" t="s">
        <v>19</v>
      </c>
      <c r="E15" s="13" t="s">
        <v>29</v>
      </c>
      <c r="F15" s="13" t="s">
        <v>31</v>
      </c>
      <c r="G15" s="13" t="s">
        <v>25</v>
      </c>
      <c r="H15" s="13" t="s">
        <v>25</v>
      </c>
    </row>
    <row r="16" spans="1:8" ht="17" thickBot="1" x14ac:dyDescent="0.25">
      <c r="B16" s="14" t="s">
        <v>17</v>
      </c>
      <c r="C16" s="14" t="s">
        <v>18</v>
      </c>
      <c r="D16" s="14" t="s">
        <v>20</v>
      </c>
      <c r="E16" s="14" t="s">
        <v>30</v>
      </c>
      <c r="F16" s="14" t="s">
        <v>32</v>
      </c>
      <c r="G16" s="14" t="s">
        <v>26</v>
      </c>
      <c r="H16" s="14" t="s">
        <v>27</v>
      </c>
    </row>
    <row r="17" spans="2:8" x14ac:dyDescent="0.2">
      <c r="B17" s="11" t="s">
        <v>98</v>
      </c>
      <c r="C17" s="11" t="s">
        <v>89</v>
      </c>
      <c r="D17" s="11">
        <v>1000</v>
      </c>
      <c r="E17" s="11">
        <v>25</v>
      </c>
      <c r="F17" s="11">
        <v>1000</v>
      </c>
      <c r="G17" s="11">
        <v>0</v>
      </c>
      <c r="H17" s="11">
        <v>200</v>
      </c>
    </row>
    <row r="18" spans="2:8" x14ac:dyDescent="0.2">
      <c r="B18" s="11" t="s">
        <v>99</v>
      </c>
      <c r="C18" s="11" t="s">
        <v>100</v>
      </c>
      <c r="D18" s="11">
        <v>350</v>
      </c>
      <c r="E18" s="11">
        <v>100</v>
      </c>
      <c r="F18" s="11">
        <v>350</v>
      </c>
      <c r="G18" s="11">
        <v>120</v>
      </c>
      <c r="H18" s="11">
        <v>0</v>
      </c>
    </row>
    <row r="19" spans="2:8" x14ac:dyDescent="0.2">
      <c r="B19" s="11" t="s">
        <v>35</v>
      </c>
      <c r="C19" s="11" t="s">
        <v>1</v>
      </c>
      <c r="D19" s="11">
        <v>55</v>
      </c>
      <c r="E19" s="11">
        <v>0</v>
      </c>
      <c r="F19" s="11">
        <v>30</v>
      </c>
      <c r="G19" s="11">
        <v>25</v>
      </c>
      <c r="H19" s="11">
        <v>1E+30</v>
      </c>
    </row>
    <row r="20" spans="2:8" x14ac:dyDescent="0.2">
      <c r="B20" s="11" t="s">
        <v>101</v>
      </c>
      <c r="C20" s="11" t="s">
        <v>2</v>
      </c>
      <c r="D20" s="11">
        <v>40</v>
      </c>
      <c r="E20" s="11">
        <v>-175</v>
      </c>
      <c r="F20" s="11">
        <v>40</v>
      </c>
      <c r="G20" s="11">
        <v>0</v>
      </c>
      <c r="H20" s="11">
        <v>40</v>
      </c>
    </row>
    <row r="21" spans="2:8" ht="17" thickBot="1" x14ac:dyDescent="0.25">
      <c r="B21" s="12" t="s">
        <v>102</v>
      </c>
      <c r="C21" s="12" t="s">
        <v>3</v>
      </c>
      <c r="D21" s="12">
        <v>60</v>
      </c>
      <c r="E21" s="12">
        <v>-50</v>
      </c>
      <c r="F21" s="12">
        <v>60</v>
      </c>
      <c r="G21" s="12">
        <v>0</v>
      </c>
      <c r="H21" s="12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3A811-45FF-9D4D-80B8-18BC2C1A0DD7}">
  <dimension ref="A1:F18"/>
  <sheetViews>
    <sheetView topLeftCell="A2" zoomScale="147" zoomScaleNormal="147" workbookViewId="0">
      <selection activeCell="A21" sqref="A21"/>
    </sheetView>
  </sheetViews>
  <sheetFormatPr baseColWidth="10" defaultRowHeight="16" x14ac:dyDescent="0.2"/>
  <cols>
    <col min="1" max="1" width="33.1640625" customWidth="1"/>
    <col min="4" max="4" width="14.5" customWidth="1"/>
    <col min="6" max="6" width="14.33203125" customWidth="1"/>
  </cols>
  <sheetData>
    <row r="1" spans="1:6" ht="34" x14ac:dyDescent="0.2">
      <c r="A1" s="21" t="s">
        <v>120</v>
      </c>
    </row>
    <row r="2" spans="1:6" ht="54" customHeight="1" x14ac:dyDescent="0.2">
      <c r="B2" s="33" t="s">
        <v>122</v>
      </c>
      <c r="C2" s="33"/>
      <c r="D2" s="21" t="s">
        <v>125</v>
      </c>
    </row>
    <row r="3" spans="1:6" x14ac:dyDescent="0.2">
      <c r="A3" t="s">
        <v>14</v>
      </c>
      <c r="B3" t="s">
        <v>121</v>
      </c>
      <c r="C3" t="s">
        <v>124</v>
      </c>
    </row>
    <row r="4" spans="1:6" x14ac:dyDescent="0.2">
      <c r="A4" t="s">
        <v>1</v>
      </c>
      <c r="B4" s="26">
        <v>30</v>
      </c>
      <c r="C4" s="26">
        <v>50</v>
      </c>
      <c r="D4" s="1">
        <v>50000</v>
      </c>
    </row>
    <row r="5" spans="1:6" x14ac:dyDescent="0.2">
      <c r="A5" t="s">
        <v>2</v>
      </c>
      <c r="B5" s="26">
        <v>25</v>
      </c>
      <c r="C5" s="26">
        <v>40</v>
      </c>
      <c r="D5" s="1">
        <v>70000</v>
      </c>
    </row>
    <row r="6" spans="1:6" x14ac:dyDescent="0.2">
      <c r="A6" t="s">
        <v>123</v>
      </c>
      <c r="B6" s="1">
        <v>80000</v>
      </c>
      <c r="C6" s="1">
        <v>60000</v>
      </c>
      <c r="D6" s="1"/>
    </row>
    <row r="9" spans="1:6" x14ac:dyDescent="0.2">
      <c r="A9" t="s">
        <v>14</v>
      </c>
    </row>
    <row r="10" spans="1:6" x14ac:dyDescent="0.2">
      <c r="A10" t="s">
        <v>126</v>
      </c>
      <c r="B10" s="25">
        <f>SUMPRODUCT(B4:C5,B14:C15)</f>
        <v>3850000</v>
      </c>
    </row>
    <row r="12" spans="1:6" ht="55" customHeight="1" x14ac:dyDescent="0.2">
      <c r="A12" s="22"/>
      <c r="B12" s="34" t="s">
        <v>122</v>
      </c>
      <c r="C12" s="34"/>
      <c r="D12" s="29" t="s">
        <v>127</v>
      </c>
      <c r="F12" s="30" t="s">
        <v>125</v>
      </c>
    </row>
    <row r="13" spans="1:6" x14ac:dyDescent="0.2">
      <c r="A13" s="22" t="s">
        <v>14</v>
      </c>
      <c r="B13" s="22" t="s">
        <v>121</v>
      </c>
      <c r="C13" s="22" t="s">
        <v>124</v>
      </c>
      <c r="D13" s="29"/>
      <c r="F13" s="31"/>
    </row>
    <row r="14" spans="1:6" x14ac:dyDescent="0.2">
      <c r="A14" s="22" t="s">
        <v>1</v>
      </c>
      <c r="B14" s="24">
        <v>50000</v>
      </c>
      <c r="C14" s="24">
        <v>0</v>
      </c>
      <c r="D14" s="29">
        <f>B14+C14</f>
        <v>50000</v>
      </c>
      <c r="E14" s="1" t="s">
        <v>93</v>
      </c>
      <c r="F14" s="32">
        <v>50000</v>
      </c>
    </row>
    <row r="15" spans="1:6" x14ac:dyDescent="0.2">
      <c r="A15" s="22" t="s">
        <v>2</v>
      </c>
      <c r="B15" s="24">
        <v>30000</v>
      </c>
      <c r="C15" s="24">
        <v>40000</v>
      </c>
      <c r="D15" s="29">
        <f>B15+C15</f>
        <v>70000</v>
      </c>
      <c r="E15" s="1" t="s">
        <v>93</v>
      </c>
      <c r="F15" s="32">
        <v>70000</v>
      </c>
    </row>
    <row r="16" spans="1:6" x14ac:dyDescent="0.2">
      <c r="A16" s="22" t="s">
        <v>128</v>
      </c>
      <c r="B16" s="27">
        <f>SUM(B14:B15)</f>
        <v>80000</v>
      </c>
      <c r="C16" s="27">
        <f>SUM(C14:C15)</f>
        <v>40000</v>
      </c>
      <c r="D16" s="23"/>
    </row>
    <row r="17" spans="1:3" x14ac:dyDescent="0.2">
      <c r="B17" s="1" t="s">
        <v>13</v>
      </c>
      <c r="C17" s="1" t="s">
        <v>13</v>
      </c>
    </row>
    <row r="18" spans="1:3" x14ac:dyDescent="0.2">
      <c r="A18" s="22" t="s">
        <v>123</v>
      </c>
      <c r="B18" s="28">
        <v>80000</v>
      </c>
      <c r="C18" s="28">
        <v>60000</v>
      </c>
    </row>
  </sheetData>
  <mergeCells count="2">
    <mergeCell ref="B2:C2"/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C03A-E363-9147-A375-5D5EA773B343}">
  <dimension ref="A1:G32"/>
  <sheetViews>
    <sheetView showGridLines="0" topLeftCell="A5" zoomScale="107" zoomScaleNormal="107" workbookViewId="0">
      <selection activeCell="E35" sqref="E35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5" bestFit="1" customWidth="1"/>
    <col min="4" max="4" width="12.83203125" bestFit="1" customWidth="1"/>
    <col min="5" max="5" width="13.5" bestFit="1" customWidth="1"/>
    <col min="6" max="6" width="10.83203125" bestFit="1" customWidth="1"/>
    <col min="7" max="7" width="6.1640625" bestFit="1" customWidth="1"/>
  </cols>
  <sheetData>
    <row r="1" spans="1:5" x14ac:dyDescent="0.2">
      <c r="A1" s="10" t="s">
        <v>54</v>
      </c>
    </row>
    <row r="2" spans="1:5" x14ac:dyDescent="0.2">
      <c r="A2" s="10" t="s">
        <v>129</v>
      </c>
    </row>
    <row r="3" spans="1:5" x14ac:dyDescent="0.2">
      <c r="A3" s="10" t="s">
        <v>130</v>
      </c>
    </row>
    <row r="4" spans="1:5" x14ac:dyDescent="0.2">
      <c r="A4" s="10" t="s">
        <v>57</v>
      </c>
    </row>
    <row r="5" spans="1:5" x14ac:dyDescent="0.2">
      <c r="A5" s="10" t="s">
        <v>58</v>
      </c>
    </row>
    <row r="6" spans="1:5" x14ac:dyDescent="0.2">
      <c r="A6" s="10"/>
      <c r="B6" t="s">
        <v>59</v>
      </c>
    </row>
    <row r="7" spans="1:5" x14ac:dyDescent="0.2">
      <c r="A7" s="10"/>
      <c r="B7" t="s">
        <v>131</v>
      </c>
    </row>
    <row r="8" spans="1:5" x14ac:dyDescent="0.2">
      <c r="A8" s="10"/>
      <c r="B8" t="s">
        <v>132</v>
      </c>
    </row>
    <row r="9" spans="1:5" x14ac:dyDescent="0.2">
      <c r="A9" s="10" t="s">
        <v>62</v>
      </c>
    </row>
    <row r="10" spans="1:5" x14ac:dyDescent="0.2">
      <c r="B10" t="s">
        <v>63</v>
      </c>
    </row>
    <row r="11" spans="1:5" x14ac:dyDescent="0.2">
      <c r="B11" t="s">
        <v>64</v>
      </c>
    </row>
    <row r="14" spans="1:5" ht="17" thickBot="1" x14ac:dyDescent="0.25">
      <c r="A14" t="s">
        <v>133</v>
      </c>
    </row>
    <row r="15" spans="1:5" ht="17" thickBot="1" x14ac:dyDescent="0.25">
      <c r="B15" s="16" t="s">
        <v>17</v>
      </c>
      <c r="C15" s="16" t="s">
        <v>18</v>
      </c>
      <c r="D15" s="16" t="s">
        <v>66</v>
      </c>
      <c r="E15" s="16" t="s">
        <v>67</v>
      </c>
    </row>
    <row r="16" spans="1:5" ht="17" thickBot="1" x14ac:dyDescent="0.25">
      <c r="B16" s="12" t="s">
        <v>134</v>
      </c>
      <c r="C16" s="12" t="s">
        <v>135</v>
      </c>
      <c r="D16" s="12">
        <v>0</v>
      </c>
      <c r="E16" s="12">
        <v>3850000</v>
      </c>
    </row>
    <row r="19" spans="1:7" ht="17" thickBot="1" x14ac:dyDescent="0.25">
      <c r="A19" t="s">
        <v>16</v>
      </c>
    </row>
    <row r="20" spans="1:7" ht="17" thickBot="1" x14ac:dyDescent="0.25">
      <c r="B20" s="16" t="s">
        <v>17</v>
      </c>
      <c r="C20" s="16" t="s">
        <v>18</v>
      </c>
      <c r="D20" s="16" t="s">
        <v>66</v>
      </c>
      <c r="E20" s="16" t="s">
        <v>67</v>
      </c>
      <c r="F20" s="16" t="s">
        <v>68</v>
      </c>
    </row>
    <row r="21" spans="1:7" x14ac:dyDescent="0.2">
      <c r="B21" s="11" t="s">
        <v>95</v>
      </c>
      <c r="C21" s="11" t="s">
        <v>136</v>
      </c>
      <c r="D21" s="11">
        <v>0</v>
      </c>
      <c r="E21" s="11">
        <v>50000</v>
      </c>
      <c r="F21" s="11" t="s">
        <v>76</v>
      </c>
    </row>
    <row r="22" spans="1:7" x14ac:dyDescent="0.2">
      <c r="B22" s="11" t="s">
        <v>137</v>
      </c>
      <c r="C22" s="11" t="s">
        <v>138</v>
      </c>
      <c r="D22" s="11">
        <v>0</v>
      </c>
      <c r="E22" s="11">
        <v>0</v>
      </c>
      <c r="F22" s="11" t="s">
        <v>76</v>
      </c>
    </row>
    <row r="23" spans="1:7" x14ac:dyDescent="0.2">
      <c r="B23" s="11" t="s">
        <v>96</v>
      </c>
      <c r="C23" s="11" t="s">
        <v>139</v>
      </c>
      <c r="D23" s="11">
        <v>0</v>
      </c>
      <c r="E23" s="11">
        <v>30000</v>
      </c>
      <c r="F23" s="11" t="s">
        <v>76</v>
      </c>
    </row>
    <row r="24" spans="1:7" ht="17" thickBot="1" x14ac:dyDescent="0.25">
      <c r="B24" s="12" t="s">
        <v>140</v>
      </c>
      <c r="C24" s="12" t="s">
        <v>141</v>
      </c>
      <c r="D24" s="12">
        <v>0</v>
      </c>
      <c r="E24" s="12">
        <v>40000</v>
      </c>
      <c r="F24" s="12" t="s">
        <v>76</v>
      </c>
    </row>
    <row r="27" spans="1:7" ht="17" thickBot="1" x14ac:dyDescent="0.25">
      <c r="A27" t="s">
        <v>28</v>
      </c>
    </row>
    <row r="28" spans="1:7" ht="17" thickBot="1" x14ac:dyDescent="0.25">
      <c r="B28" s="16" t="s">
        <v>17</v>
      </c>
      <c r="C28" s="16" t="s">
        <v>18</v>
      </c>
      <c r="D28" s="16" t="s">
        <v>69</v>
      </c>
      <c r="E28" s="16" t="s">
        <v>70</v>
      </c>
      <c r="F28" s="16" t="s">
        <v>71</v>
      </c>
      <c r="G28" s="16" t="s">
        <v>72</v>
      </c>
    </row>
    <row r="29" spans="1:7" x14ac:dyDescent="0.2">
      <c r="B29" s="11" t="s">
        <v>33</v>
      </c>
      <c r="C29" s="11" t="s">
        <v>142</v>
      </c>
      <c r="D29" s="11">
        <v>80000</v>
      </c>
      <c r="E29" s="11" t="s">
        <v>143</v>
      </c>
      <c r="F29" s="11" t="s">
        <v>81</v>
      </c>
      <c r="G29" s="11">
        <v>0</v>
      </c>
    </row>
    <row r="30" spans="1:7" x14ac:dyDescent="0.2">
      <c r="B30" s="11" t="s">
        <v>34</v>
      </c>
      <c r="C30" s="11" t="s">
        <v>144</v>
      </c>
      <c r="D30" s="11">
        <v>40000</v>
      </c>
      <c r="E30" s="11" t="s">
        <v>145</v>
      </c>
      <c r="F30" s="11" t="s">
        <v>85</v>
      </c>
      <c r="G30" s="11">
        <v>20000</v>
      </c>
    </row>
    <row r="31" spans="1:7" x14ac:dyDescent="0.2">
      <c r="B31" s="11" t="s">
        <v>146</v>
      </c>
      <c r="C31" s="11" t="s">
        <v>147</v>
      </c>
      <c r="D31" s="11">
        <v>50000</v>
      </c>
      <c r="E31" s="11" t="s">
        <v>148</v>
      </c>
      <c r="F31" s="11" t="s">
        <v>81</v>
      </c>
      <c r="G31" s="11">
        <v>0</v>
      </c>
    </row>
    <row r="32" spans="1:7" ht="17" thickBot="1" x14ac:dyDescent="0.25">
      <c r="B32" s="12" t="s">
        <v>149</v>
      </c>
      <c r="C32" s="12" t="s">
        <v>150</v>
      </c>
      <c r="D32" s="12">
        <v>70000</v>
      </c>
      <c r="E32" s="12" t="s">
        <v>151</v>
      </c>
      <c r="F32" s="12" t="s">
        <v>81</v>
      </c>
      <c r="G32" s="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0FEB7-C54F-A54F-94D6-3D177A991789}">
  <dimension ref="A1:H20"/>
  <sheetViews>
    <sheetView showGridLines="0" zoomScale="126" zoomScaleNormal="126" workbookViewId="0">
      <selection activeCell="F24" sqref="F24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15.83203125" bestFit="1" customWidth="1"/>
    <col min="4" max="4" width="6.1640625" bestFit="1" customWidth="1"/>
    <col min="5" max="5" width="8.1640625" bestFit="1" customWidth="1"/>
    <col min="6" max="6" width="10" bestFit="1" customWidth="1"/>
    <col min="7" max="8" width="9.33203125" bestFit="1" customWidth="1"/>
  </cols>
  <sheetData>
    <row r="1" spans="1:8" x14ac:dyDescent="0.2">
      <c r="A1" s="10" t="s">
        <v>15</v>
      </c>
    </row>
    <row r="2" spans="1:8" x14ac:dyDescent="0.2">
      <c r="A2" s="10" t="s">
        <v>129</v>
      </c>
    </row>
    <row r="3" spans="1:8" x14ac:dyDescent="0.2">
      <c r="A3" s="10" t="s">
        <v>130</v>
      </c>
    </row>
    <row r="6" spans="1:8" ht="17" thickBot="1" x14ac:dyDescent="0.25">
      <c r="A6" t="s">
        <v>16</v>
      </c>
    </row>
    <row r="7" spans="1:8" x14ac:dyDescent="0.2">
      <c r="B7" s="13"/>
      <c r="C7" s="13"/>
      <c r="D7" s="13" t="s">
        <v>19</v>
      </c>
      <c r="E7" s="13" t="s">
        <v>21</v>
      </c>
      <c r="F7" s="13" t="s">
        <v>23</v>
      </c>
      <c r="G7" s="13" t="s">
        <v>25</v>
      </c>
      <c r="H7" s="13" t="s">
        <v>25</v>
      </c>
    </row>
    <row r="8" spans="1:8" ht="17" thickBot="1" x14ac:dyDescent="0.25">
      <c r="B8" s="14" t="s">
        <v>17</v>
      </c>
      <c r="C8" s="14" t="s">
        <v>18</v>
      </c>
      <c r="D8" s="14" t="s">
        <v>20</v>
      </c>
      <c r="E8" s="14" t="s">
        <v>22</v>
      </c>
      <c r="F8" s="14" t="s">
        <v>24</v>
      </c>
      <c r="G8" s="14" t="s">
        <v>26</v>
      </c>
      <c r="H8" s="14" t="s">
        <v>27</v>
      </c>
    </row>
    <row r="9" spans="1:8" x14ac:dyDescent="0.2">
      <c r="B9" s="11" t="s">
        <v>95</v>
      </c>
      <c r="C9" s="11" t="s">
        <v>136</v>
      </c>
      <c r="D9" s="11">
        <v>50000</v>
      </c>
      <c r="E9" s="11">
        <v>0</v>
      </c>
      <c r="F9" s="11">
        <v>30</v>
      </c>
      <c r="G9" s="11">
        <v>5</v>
      </c>
      <c r="H9" s="11">
        <v>45</v>
      </c>
    </row>
    <row r="10" spans="1:8" x14ac:dyDescent="0.2">
      <c r="B10" s="11" t="s">
        <v>137</v>
      </c>
      <c r="C10" s="11" t="s">
        <v>138</v>
      </c>
      <c r="D10" s="11">
        <v>0</v>
      </c>
      <c r="E10" s="11">
        <v>5</v>
      </c>
      <c r="F10" s="11">
        <v>50</v>
      </c>
      <c r="G10" s="11">
        <v>1E+30</v>
      </c>
      <c r="H10" s="11">
        <v>5</v>
      </c>
    </row>
    <row r="11" spans="1:8" x14ac:dyDescent="0.2">
      <c r="B11" s="11" t="s">
        <v>96</v>
      </c>
      <c r="C11" s="11" t="s">
        <v>139</v>
      </c>
      <c r="D11" s="11">
        <v>30000</v>
      </c>
      <c r="E11" s="11">
        <v>0</v>
      </c>
      <c r="F11" s="11">
        <v>25</v>
      </c>
      <c r="G11" s="11">
        <v>15</v>
      </c>
      <c r="H11" s="11">
        <v>5</v>
      </c>
    </row>
    <row r="12" spans="1:8" ht="17" thickBot="1" x14ac:dyDescent="0.25">
      <c r="B12" s="12" t="s">
        <v>140</v>
      </c>
      <c r="C12" s="12" t="s">
        <v>141</v>
      </c>
      <c r="D12" s="12">
        <v>40000</v>
      </c>
      <c r="E12" s="12">
        <v>0</v>
      </c>
      <c r="F12" s="12">
        <v>40</v>
      </c>
      <c r="G12" s="12">
        <v>5</v>
      </c>
      <c r="H12" s="12">
        <v>15</v>
      </c>
    </row>
    <row r="14" spans="1:8" ht="17" thickBot="1" x14ac:dyDescent="0.25">
      <c r="A14" t="s">
        <v>28</v>
      </c>
    </row>
    <row r="15" spans="1:8" x14ac:dyDescent="0.2">
      <c r="B15" s="13"/>
      <c r="C15" s="13"/>
      <c r="D15" s="13" t="s">
        <v>19</v>
      </c>
      <c r="E15" s="13" t="s">
        <v>29</v>
      </c>
      <c r="F15" s="13" t="s">
        <v>31</v>
      </c>
      <c r="G15" s="13" t="s">
        <v>25</v>
      </c>
      <c r="H15" s="13" t="s">
        <v>25</v>
      </c>
    </row>
    <row r="16" spans="1:8" ht="17" thickBot="1" x14ac:dyDescent="0.25">
      <c r="B16" s="14" t="s">
        <v>17</v>
      </c>
      <c r="C16" s="14" t="s">
        <v>18</v>
      </c>
      <c r="D16" s="14" t="s">
        <v>20</v>
      </c>
      <c r="E16" s="14" t="s">
        <v>30</v>
      </c>
      <c r="F16" s="14" t="s">
        <v>32</v>
      </c>
      <c r="G16" s="14" t="s">
        <v>26</v>
      </c>
      <c r="H16" s="14" t="s">
        <v>27</v>
      </c>
    </row>
    <row r="17" spans="2:8" x14ac:dyDescent="0.2">
      <c r="B17" s="11" t="s">
        <v>33</v>
      </c>
      <c r="C17" s="11" t="s">
        <v>142</v>
      </c>
      <c r="D17" s="11">
        <v>80000</v>
      </c>
      <c r="E17" s="11">
        <v>-15</v>
      </c>
      <c r="F17" s="11">
        <v>80000</v>
      </c>
      <c r="G17" s="11">
        <v>40000</v>
      </c>
      <c r="H17" s="11">
        <v>20000</v>
      </c>
    </row>
    <row r="18" spans="2:8" x14ac:dyDescent="0.2">
      <c r="B18" s="11" t="s">
        <v>34</v>
      </c>
      <c r="C18" s="11" t="s">
        <v>144</v>
      </c>
      <c r="D18" s="11">
        <v>40000</v>
      </c>
      <c r="E18" s="11">
        <v>0</v>
      </c>
      <c r="F18" s="11">
        <v>60000</v>
      </c>
      <c r="G18" s="11">
        <v>1E+30</v>
      </c>
      <c r="H18" s="11">
        <v>20000</v>
      </c>
    </row>
    <row r="19" spans="2:8" x14ac:dyDescent="0.2">
      <c r="B19" s="11" t="s">
        <v>146</v>
      </c>
      <c r="C19" s="11" t="s">
        <v>147</v>
      </c>
      <c r="D19" s="11">
        <v>50000</v>
      </c>
      <c r="E19" s="11">
        <v>45</v>
      </c>
      <c r="F19" s="11">
        <v>50000</v>
      </c>
      <c r="G19" s="11">
        <v>20000</v>
      </c>
      <c r="H19" s="11">
        <v>40000</v>
      </c>
    </row>
    <row r="20" spans="2:8" ht="17" thickBot="1" x14ac:dyDescent="0.25">
      <c r="B20" s="12" t="s">
        <v>149</v>
      </c>
      <c r="C20" s="12" t="s">
        <v>150</v>
      </c>
      <c r="D20" s="12">
        <v>70000</v>
      </c>
      <c r="E20" s="12">
        <v>40</v>
      </c>
      <c r="F20" s="12">
        <v>70000</v>
      </c>
      <c r="G20" s="12">
        <v>20000</v>
      </c>
      <c r="H20" s="12">
        <v>40000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7A04D-848C-7340-879A-CBBF5564FC2D}">
  <dimension ref="A1:E18"/>
  <sheetViews>
    <sheetView zoomScale="134" zoomScaleNormal="134" workbookViewId="0">
      <selection activeCell="I11" sqref="I11"/>
    </sheetView>
  </sheetViews>
  <sheetFormatPr baseColWidth="10" defaultRowHeight="16" x14ac:dyDescent="0.2"/>
  <cols>
    <col min="1" max="1" width="18.83203125" customWidth="1"/>
    <col min="2" max="3" width="10.83203125" style="1"/>
    <col min="4" max="4" width="15" style="1" customWidth="1"/>
    <col min="5" max="5" width="16.83203125" customWidth="1"/>
  </cols>
  <sheetData>
    <row r="1" spans="1:5" ht="24" x14ac:dyDescent="0.3">
      <c r="A1" s="35" t="s">
        <v>152</v>
      </c>
      <c r="B1" s="36"/>
      <c r="C1" s="36"/>
      <c r="D1" s="36"/>
      <c r="E1" s="35"/>
    </row>
    <row r="3" spans="1:5" x14ac:dyDescent="0.2">
      <c r="A3" t="s">
        <v>153</v>
      </c>
      <c r="B3" s="1" t="s">
        <v>157</v>
      </c>
      <c r="C3" s="1" t="s">
        <v>158</v>
      </c>
      <c r="D3" s="1" t="s">
        <v>159</v>
      </c>
    </row>
    <row r="4" spans="1:5" x14ac:dyDescent="0.2">
      <c r="A4" t="s">
        <v>154</v>
      </c>
      <c r="B4" s="1">
        <v>0.2</v>
      </c>
      <c r="C4" s="1">
        <v>0.1</v>
      </c>
      <c r="D4" s="1">
        <f>0.1*$B$7</f>
        <v>30000</v>
      </c>
    </row>
    <row r="5" spans="1:5" x14ac:dyDescent="0.2">
      <c r="A5" t="s">
        <v>155</v>
      </c>
      <c r="B5" s="1">
        <v>0.1</v>
      </c>
      <c r="C5" s="1">
        <v>0.05</v>
      </c>
      <c r="D5" s="1">
        <f>0.1*$B$7</f>
        <v>30000</v>
      </c>
    </row>
    <row r="6" spans="1:5" x14ac:dyDescent="0.2">
      <c r="A6" t="s">
        <v>156</v>
      </c>
      <c r="B6" s="1">
        <v>0.06</v>
      </c>
      <c r="C6" s="1">
        <v>0.01</v>
      </c>
      <c r="D6" s="1">
        <f>0.2*$B$7</f>
        <v>60000</v>
      </c>
    </row>
    <row r="7" spans="1:5" x14ac:dyDescent="0.2">
      <c r="A7" t="s">
        <v>160</v>
      </c>
      <c r="B7" s="1">
        <v>300000</v>
      </c>
      <c r="C7" s="1">
        <f>0.05</f>
        <v>0.05</v>
      </c>
    </row>
    <row r="9" spans="1:5" x14ac:dyDescent="0.2">
      <c r="A9" t="s">
        <v>161</v>
      </c>
    </row>
    <row r="10" spans="1:5" x14ac:dyDescent="0.2">
      <c r="A10" t="s">
        <v>162</v>
      </c>
      <c r="B10" s="29">
        <f>SUMPRODUCT(B13:B15,C13:C15)</f>
        <v>36000</v>
      </c>
    </row>
    <row r="12" spans="1:5" x14ac:dyDescent="0.2">
      <c r="B12" t="s">
        <v>153</v>
      </c>
      <c r="C12" s="1" t="s">
        <v>157</v>
      </c>
      <c r="D12" s="1" t="s">
        <v>158</v>
      </c>
      <c r="E12" s="37" t="s">
        <v>159</v>
      </c>
    </row>
    <row r="13" spans="1:5" x14ac:dyDescent="0.2">
      <c r="A13" t="s">
        <v>154</v>
      </c>
      <c r="B13" s="15">
        <v>119999.99999999999</v>
      </c>
      <c r="C13" s="1">
        <v>0.2</v>
      </c>
      <c r="D13" s="1">
        <v>0.1</v>
      </c>
      <c r="E13" s="37">
        <f>0.1*$B$7</f>
        <v>30000</v>
      </c>
    </row>
    <row r="14" spans="1:5" x14ac:dyDescent="0.2">
      <c r="A14" t="s">
        <v>155</v>
      </c>
      <c r="B14" s="15">
        <v>30000</v>
      </c>
      <c r="C14" s="1">
        <v>0.1</v>
      </c>
      <c r="D14" s="1">
        <v>0.05</v>
      </c>
      <c r="E14" s="37">
        <f>0.1*$B$7</f>
        <v>30000</v>
      </c>
    </row>
    <row r="15" spans="1:5" x14ac:dyDescent="0.2">
      <c r="A15" t="s">
        <v>169</v>
      </c>
      <c r="B15" s="15">
        <v>150000</v>
      </c>
      <c r="C15" s="1">
        <v>0.06</v>
      </c>
      <c r="D15" s="1">
        <v>0.01</v>
      </c>
      <c r="E15" s="37">
        <f>0.2*$B$7</f>
        <v>60000</v>
      </c>
    </row>
    <row r="16" spans="1:5" x14ac:dyDescent="0.2">
      <c r="A16" t="s">
        <v>163</v>
      </c>
      <c r="B16" s="27">
        <f>SUM(B13:B15)</f>
        <v>300000</v>
      </c>
      <c r="D16" s="27">
        <f>SUMPRODUCT(D13:D15,B13:B15)</f>
        <v>15000</v>
      </c>
    </row>
    <row r="17" spans="1:4" x14ac:dyDescent="0.2">
      <c r="B17" s="1" t="s">
        <v>13</v>
      </c>
      <c r="D17" s="1" t="s">
        <v>13</v>
      </c>
    </row>
    <row r="18" spans="1:4" x14ac:dyDescent="0.2">
      <c r="A18" t="s">
        <v>160</v>
      </c>
      <c r="B18" s="27">
        <v>300000</v>
      </c>
      <c r="D18" s="27">
        <f>C7*B7</f>
        <v>15000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E415-7307-A148-847B-CFF88A0209E1}">
  <dimension ref="A1:H17"/>
  <sheetViews>
    <sheetView showGridLines="0" tabSelected="1" workbookViewId="0">
      <selection activeCell="G24" sqref="G24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7.5" bestFit="1" customWidth="1"/>
    <col min="4" max="4" width="7.1640625" bestFit="1" customWidth="1"/>
    <col min="5" max="5" width="12.83203125" bestFit="1" customWidth="1"/>
    <col min="6" max="6" width="10" bestFit="1" customWidth="1"/>
    <col min="7" max="7" width="12.1640625" bestFit="1" customWidth="1"/>
    <col min="8" max="8" width="9.33203125" bestFit="1" customWidth="1"/>
  </cols>
  <sheetData>
    <row r="1" spans="1:8" x14ac:dyDescent="0.2">
      <c r="A1" s="10" t="s">
        <v>15</v>
      </c>
    </row>
    <row r="2" spans="1:8" x14ac:dyDescent="0.2">
      <c r="A2" s="10" t="s">
        <v>164</v>
      </c>
    </row>
    <row r="3" spans="1:8" x14ac:dyDescent="0.2">
      <c r="A3" s="10" t="s">
        <v>170</v>
      </c>
    </row>
    <row r="6" spans="1:8" ht="17" thickBot="1" x14ac:dyDescent="0.25">
      <c r="A6" t="s">
        <v>16</v>
      </c>
    </row>
    <row r="7" spans="1:8" x14ac:dyDescent="0.2">
      <c r="B7" s="40"/>
      <c r="C7" s="40"/>
      <c r="D7" s="40" t="s">
        <v>19</v>
      </c>
      <c r="E7" s="40" t="s">
        <v>21</v>
      </c>
      <c r="F7" s="40" t="s">
        <v>23</v>
      </c>
      <c r="G7" s="40" t="s">
        <v>25</v>
      </c>
      <c r="H7" s="40" t="s">
        <v>25</v>
      </c>
    </row>
    <row r="8" spans="1:8" ht="17" thickBot="1" x14ac:dyDescent="0.25">
      <c r="B8" s="41" t="s">
        <v>17</v>
      </c>
      <c r="C8" s="41" t="s">
        <v>18</v>
      </c>
      <c r="D8" s="41" t="s">
        <v>20</v>
      </c>
      <c r="E8" s="41" t="s">
        <v>22</v>
      </c>
      <c r="F8" s="41" t="s">
        <v>24</v>
      </c>
      <c r="G8" s="41" t="s">
        <v>26</v>
      </c>
      <c r="H8" s="41" t="s">
        <v>27</v>
      </c>
    </row>
    <row r="9" spans="1:8" x14ac:dyDescent="0.2">
      <c r="B9" s="38" t="s">
        <v>165</v>
      </c>
      <c r="C9" s="38" t="s">
        <v>171</v>
      </c>
      <c r="D9" s="38">
        <v>119999.99999999999</v>
      </c>
      <c r="E9" s="38">
        <v>0</v>
      </c>
      <c r="F9" s="38">
        <v>0.2</v>
      </c>
      <c r="G9" s="38">
        <v>0.39999999999999947</v>
      </c>
      <c r="H9" s="38">
        <v>4.9999999999999975E-2</v>
      </c>
    </row>
    <row r="10" spans="1:8" x14ac:dyDescent="0.2">
      <c r="B10" s="38" t="s">
        <v>95</v>
      </c>
      <c r="C10" s="38" t="s">
        <v>172</v>
      </c>
      <c r="D10" s="38">
        <v>30000</v>
      </c>
      <c r="E10" s="38">
        <v>-2.222222222222222E-2</v>
      </c>
      <c r="F10" s="38">
        <v>0.10000000000000003</v>
      </c>
      <c r="G10" s="38">
        <v>2.222222222222222E-2</v>
      </c>
      <c r="H10" s="38">
        <v>1E+30</v>
      </c>
    </row>
    <row r="11" spans="1:8" ht="17" thickBot="1" x14ac:dyDescent="0.25">
      <c r="B11" s="39" t="s">
        <v>96</v>
      </c>
      <c r="C11" s="39" t="s">
        <v>173</v>
      </c>
      <c r="D11" s="39">
        <v>150000</v>
      </c>
      <c r="E11" s="39">
        <v>0</v>
      </c>
      <c r="F11" s="39">
        <v>0.06</v>
      </c>
      <c r="G11" s="39">
        <v>0.14000000000000001</v>
      </c>
      <c r="H11" s="39">
        <v>3.999999999999998E-2</v>
      </c>
    </row>
    <row r="13" spans="1:8" ht="17" thickBot="1" x14ac:dyDescent="0.25">
      <c r="A13" t="s">
        <v>28</v>
      </c>
    </row>
    <row r="14" spans="1:8" x14ac:dyDescent="0.2">
      <c r="B14" s="40"/>
      <c r="C14" s="40"/>
      <c r="D14" s="40" t="s">
        <v>19</v>
      </c>
      <c r="E14" s="40" t="s">
        <v>29</v>
      </c>
      <c r="F14" s="40" t="s">
        <v>31</v>
      </c>
      <c r="G14" s="40" t="s">
        <v>25</v>
      </c>
      <c r="H14" s="40" t="s">
        <v>25</v>
      </c>
    </row>
    <row r="15" spans="1:8" ht="17" thickBot="1" x14ac:dyDescent="0.25">
      <c r="B15" s="41" t="s">
        <v>17</v>
      </c>
      <c r="C15" s="41" t="s">
        <v>18</v>
      </c>
      <c r="D15" s="41" t="s">
        <v>20</v>
      </c>
      <c r="E15" s="41" t="s">
        <v>30</v>
      </c>
      <c r="F15" s="41" t="s">
        <v>32</v>
      </c>
      <c r="G15" s="41" t="s">
        <v>26</v>
      </c>
      <c r="H15" s="41" t="s">
        <v>27</v>
      </c>
    </row>
    <row r="16" spans="1:8" x14ac:dyDescent="0.2">
      <c r="B16" s="38" t="s">
        <v>33</v>
      </c>
      <c r="C16" s="38" t="s">
        <v>166</v>
      </c>
      <c r="D16" s="38">
        <v>300000</v>
      </c>
      <c r="E16" s="38">
        <v>4.4444444444444425E-2</v>
      </c>
      <c r="F16" s="38">
        <v>300000</v>
      </c>
      <c r="G16" s="38">
        <v>809999.99999999907</v>
      </c>
      <c r="H16" s="38">
        <v>81000</v>
      </c>
    </row>
    <row r="17" spans="2:8" ht="17" thickBot="1" x14ac:dyDescent="0.25">
      <c r="B17" s="39" t="s">
        <v>167</v>
      </c>
      <c r="C17" s="39" t="s">
        <v>168</v>
      </c>
      <c r="D17" s="39">
        <v>15000</v>
      </c>
      <c r="E17" s="39">
        <v>1.5555555555555558</v>
      </c>
      <c r="F17" s="39">
        <v>15000</v>
      </c>
      <c r="G17" s="39">
        <v>8100</v>
      </c>
      <c r="H17" s="39">
        <v>8099.9999999999973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FF74-A693-7A4F-BF79-DFFDF44270DC}">
  <dimension ref="A1:F24"/>
  <sheetViews>
    <sheetView zoomScale="129" zoomScaleNormal="129" workbookViewId="0">
      <selection activeCell="D26" sqref="D26"/>
    </sheetView>
  </sheetViews>
  <sheetFormatPr baseColWidth="10" defaultRowHeight="16" x14ac:dyDescent="0.2"/>
  <cols>
    <col min="1" max="1" width="22.5" customWidth="1"/>
    <col min="2" max="2" width="15" customWidth="1"/>
    <col min="3" max="3" width="17.83203125" customWidth="1"/>
    <col min="4" max="4" width="16.83203125" customWidth="1"/>
    <col min="5" max="5" width="19.6640625" customWidth="1"/>
  </cols>
  <sheetData>
    <row r="1" spans="1:4" x14ac:dyDescent="0.2">
      <c r="A1" t="s">
        <v>40</v>
      </c>
    </row>
    <row r="3" spans="1:4" x14ac:dyDescent="0.2">
      <c r="C3" t="s">
        <v>41</v>
      </c>
    </row>
    <row r="4" spans="1:4" x14ac:dyDescent="0.2">
      <c r="A4" t="s">
        <v>42</v>
      </c>
      <c r="B4" t="s">
        <v>46</v>
      </c>
      <c r="C4" t="s">
        <v>47</v>
      </c>
      <c r="D4" t="s">
        <v>48</v>
      </c>
    </row>
    <row r="5" spans="1:4" x14ac:dyDescent="0.2">
      <c r="A5" t="s">
        <v>43</v>
      </c>
      <c r="B5">
        <v>0.4</v>
      </c>
      <c r="C5">
        <v>0.5</v>
      </c>
      <c r="D5">
        <v>20</v>
      </c>
    </row>
    <row r="6" spans="1:4" x14ac:dyDescent="0.2">
      <c r="A6" t="s">
        <v>44</v>
      </c>
      <c r="B6">
        <v>0</v>
      </c>
      <c r="C6">
        <v>0.2</v>
      </c>
      <c r="D6">
        <v>5</v>
      </c>
    </row>
    <row r="7" spans="1:4" x14ac:dyDescent="0.2">
      <c r="A7" t="s">
        <v>45</v>
      </c>
      <c r="B7">
        <v>0.6</v>
      </c>
      <c r="C7">
        <v>0.3</v>
      </c>
      <c r="D7">
        <v>21</v>
      </c>
    </row>
    <row r="8" spans="1:4" x14ac:dyDescent="0.2">
      <c r="A8" t="s">
        <v>49</v>
      </c>
      <c r="B8">
        <v>40</v>
      </c>
      <c r="C8">
        <v>30</v>
      </c>
    </row>
    <row r="11" spans="1:4" x14ac:dyDescent="0.2">
      <c r="A11" t="s">
        <v>14</v>
      </c>
    </row>
    <row r="14" spans="1:4" x14ac:dyDescent="0.2">
      <c r="C14" t="s">
        <v>50</v>
      </c>
    </row>
    <row r="15" spans="1:4" x14ac:dyDescent="0.2">
      <c r="B15" t="s">
        <v>46</v>
      </c>
      <c r="C15" t="s">
        <v>47</v>
      </c>
    </row>
    <row r="16" spans="1:4" x14ac:dyDescent="0.2">
      <c r="A16" t="s">
        <v>51</v>
      </c>
      <c r="B16" s="15">
        <v>25.000000000000004</v>
      </c>
      <c r="C16" s="15">
        <v>19.999999999999996</v>
      </c>
    </row>
    <row r="18" spans="1:6" x14ac:dyDescent="0.2">
      <c r="A18" t="s">
        <v>52</v>
      </c>
      <c r="B18">
        <f>SUMPRODUCT(B16:C16, B8:C8)</f>
        <v>1600</v>
      </c>
    </row>
    <row r="20" spans="1:6" x14ac:dyDescent="0.2">
      <c r="C20" t="s">
        <v>41</v>
      </c>
    </row>
    <row r="21" spans="1:6" x14ac:dyDescent="0.2">
      <c r="A21" t="s">
        <v>42</v>
      </c>
      <c r="B21" t="s">
        <v>46</v>
      </c>
      <c r="C21" t="s">
        <v>47</v>
      </c>
      <c r="D21" t="s">
        <v>53</v>
      </c>
      <c r="F21" t="s">
        <v>48</v>
      </c>
    </row>
    <row r="22" spans="1:6" x14ac:dyDescent="0.2">
      <c r="A22" t="s">
        <v>43</v>
      </c>
      <c r="B22">
        <v>0.4</v>
      </c>
      <c r="C22">
        <v>0.5</v>
      </c>
      <c r="D22">
        <f>SUMPRODUCT(B$16:C$16,B22:C22)</f>
        <v>20</v>
      </c>
      <c r="E22" s="1" t="s">
        <v>13</v>
      </c>
      <c r="F22">
        <v>20</v>
      </c>
    </row>
    <row r="23" spans="1:6" x14ac:dyDescent="0.2">
      <c r="A23" t="s">
        <v>44</v>
      </c>
      <c r="B23">
        <v>0</v>
      </c>
      <c r="C23">
        <v>0.2</v>
      </c>
      <c r="D23">
        <f>SUMPRODUCT(B$16:C$16,B23:C23)</f>
        <v>3.9999999999999996</v>
      </c>
      <c r="E23" s="1" t="s">
        <v>13</v>
      </c>
      <c r="F23">
        <v>5</v>
      </c>
    </row>
    <row r="24" spans="1:6" x14ac:dyDescent="0.2">
      <c r="A24" t="s">
        <v>45</v>
      </c>
      <c r="B24">
        <v>0.6</v>
      </c>
      <c r="C24">
        <v>0.3</v>
      </c>
      <c r="D24">
        <f>SUMPRODUCT(B$16:C$16,B24:C24)</f>
        <v>21</v>
      </c>
      <c r="E24" s="1" t="s">
        <v>13</v>
      </c>
      <c r="F24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C54C-77DB-3A4B-8ECF-EBE75D7FB0F4}">
  <dimension ref="A1:G29"/>
  <sheetViews>
    <sheetView showGridLines="0" workbookViewId="0"/>
  </sheetViews>
  <sheetFormatPr baseColWidth="10" defaultRowHeight="16" x14ac:dyDescent="0.2"/>
  <cols>
    <col min="1" max="1" width="2.33203125" customWidth="1"/>
    <col min="2" max="2" width="6.33203125" bestFit="1" customWidth="1"/>
    <col min="3" max="3" width="30.1640625" bestFit="1" customWidth="1"/>
    <col min="4" max="4" width="12.83203125" bestFit="1" customWidth="1"/>
    <col min="5" max="5" width="13.33203125" bestFit="1" customWidth="1"/>
    <col min="6" max="6" width="10.83203125" bestFit="1" customWidth="1"/>
    <col min="7" max="7" width="5.5" bestFit="1" customWidth="1"/>
  </cols>
  <sheetData>
    <row r="1" spans="1:5" x14ac:dyDescent="0.2">
      <c r="A1" s="10" t="s">
        <v>54</v>
      </c>
    </row>
    <row r="2" spans="1:5" x14ac:dyDescent="0.2">
      <c r="A2" s="10" t="s">
        <v>55</v>
      </c>
    </row>
    <row r="3" spans="1:5" x14ac:dyDescent="0.2">
      <c r="A3" s="10" t="s">
        <v>56</v>
      </c>
    </row>
    <row r="4" spans="1:5" x14ac:dyDescent="0.2">
      <c r="A4" s="10" t="s">
        <v>57</v>
      </c>
    </row>
    <row r="5" spans="1:5" x14ac:dyDescent="0.2">
      <c r="A5" s="10" t="s">
        <v>58</v>
      </c>
    </row>
    <row r="6" spans="1:5" x14ac:dyDescent="0.2">
      <c r="A6" s="10"/>
      <c r="B6" t="s">
        <v>59</v>
      </c>
    </row>
    <row r="7" spans="1:5" x14ac:dyDescent="0.2">
      <c r="A7" s="10"/>
      <c r="B7" t="s">
        <v>60</v>
      </c>
    </row>
    <row r="8" spans="1:5" x14ac:dyDescent="0.2">
      <c r="A8" s="10"/>
      <c r="B8" t="s">
        <v>61</v>
      </c>
    </row>
    <row r="9" spans="1:5" x14ac:dyDescent="0.2">
      <c r="A9" s="10" t="s">
        <v>62</v>
      </c>
    </row>
    <row r="10" spans="1:5" x14ac:dyDescent="0.2">
      <c r="B10" t="s">
        <v>63</v>
      </c>
    </row>
    <row r="11" spans="1:5" x14ac:dyDescent="0.2">
      <c r="B11" t="s">
        <v>64</v>
      </c>
    </row>
    <row r="14" spans="1:5" ht="17" thickBot="1" x14ac:dyDescent="0.25">
      <c r="A14" t="s">
        <v>65</v>
      </c>
    </row>
    <row r="15" spans="1:5" ht="17" thickBot="1" x14ac:dyDescent="0.25">
      <c r="B15" s="16" t="s">
        <v>17</v>
      </c>
      <c r="C15" s="16" t="s">
        <v>18</v>
      </c>
      <c r="D15" s="16" t="s">
        <v>66</v>
      </c>
      <c r="E15" s="16" t="s">
        <v>67</v>
      </c>
    </row>
    <row r="16" spans="1:5" ht="17" thickBot="1" x14ac:dyDescent="0.25">
      <c r="B16" s="12" t="s">
        <v>73</v>
      </c>
      <c r="C16" s="12" t="s">
        <v>74</v>
      </c>
      <c r="D16" s="12">
        <v>0</v>
      </c>
      <c r="E16" s="12">
        <v>1600</v>
      </c>
    </row>
    <row r="19" spans="1:7" ht="17" thickBot="1" x14ac:dyDescent="0.25">
      <c r="A19" t="s">
        <v>16</v>
      </c>
    </row>
    <row r="20" spans="1:7" ht="17" thickBot="1" x14ac:dyDescent="0.25">
      <c r="B20" s="16" t="s">
        <v>17</v>
      </c>
      <c r="C20" s="16" t="s">
        <v>18</v>
      </c>
      <c r="D20" s="16" t="s">
        <v>66</v>
      </c>
      <c r="E20" s="16" t="s">
        <v>67</v>
      </c>
      <c r="F20" s="16" t="s">
        <v>68</v>
      </c>
    </row>
    <row r="21" spans="1:7" x14ac:dyDescent="0.2">
      <c r="B21" s="11" t="s">
        <v>33</v>
      </c>
      <c r="C21" s="11" t="s">
        <v>75</v>
      </c>
      <c r="D21" s="11">
        <v>0</v>
      </c>
      <c r="E21" s="11">
        <v>25.000000000000004</v>
      </c>
      <c r="F21" s="11" t="s">
        <v>76</v>
      </c>
    </row>
    <row r="22" spans="1:7" ht="17" thickBot="1" x14ac:dyDescent="0.25">
      <c r="B22" s="12" t="s">
        <v>34</v>
      </c>
      <c r="C22" s="12" t="s">
        <v>77</v>
      </c>
      <c r="D22" s="12">
        <v>0</v>
      </c>
      <c r="E22" s="12">
        <v>19.999999999999996</v>
      </c>
      <c r="F22" s="12" t="s">
        <v>76</v>
      </c>
    </row>
    <row r="25" spans="1:7" ht="17" thickBot="1" x14ac:dyDescent="0.25">
      <c r="A25" t="s">
        <v>28</v>
      </c>
    </row>
    <row r="26" spans="1:7" ht="17" thickBot="1" x14ac:dyDescent="0.25">
      <c r="B26" s="16" t="s">
        <v>17</v>
      </c>
      <c r="C26" s="16" t="s">
        <v>18</v>
      </c>
      <c r="D26" s="16" t="s">
        <v>69</v>
      </c>
      <c r="E26" s="16" t="s">
        <v>70</v>
      </c>
      <c r="F26" s="16" t="s">
        <v>71</v>
      </c>
      <c r="G26" s="16" t="s">
        <v>72</v>
      </c>
    </row>
    <row r="27" spans="1:7" x14ac:dyDescent="0.2">
      <c r="B27" s="11" t="s">
        <v>78</v>
      </c>
      <c r="C27" s="11" t="s">
        <v>79</v>
      </c>
      <c r="D27" s="11">
        <v>20</v>
      </c>
      <c r="E27" s="11" t="s">
        <v>80</v>
      </c>
      <c r="F27" s="11" t="s">
        <v>81</v>
      </c>
      <c r="G27" s="11">
        <v>0</v>
      </c>
    </row>
    <row r="28" spans="1:7" x14ac:dyDescent="0.2">
      <c r="B28" s="11" t="s">
        <v>82</v>
      </c>
      <c r="C28" s="11" t="s">
        <v>83</v>
      </c>
      <c r="D28" s="11">
        <v>3.9999999999999996</v>
      </c>
      <c r="E28" s="11" t="s">
        <v>84</v>
      </c>
      <c r="F28" s="11" t="s">
        <v>85</v>
      </c>
      <c r="G28" s="11">
        <v>1.0000000000000004</v>
      </c>
    </row>
    <row r="29" spans="1:7" ht="17" thickBot="1" x14ac:dyDescent="0.25">
      <c r="B29" s="12" t="s">
        <v>86</v>
      </c>
      <c r="C29" s="12" t="s">
        <v>87</v>
      </c>
      <c r="D29" s="12">
        <v>21</v>
      </c>
      <c r="E29" s="12" t="s">
        <v>88</v>
      </c>
      <c r="F29" s="12" t="s">
        <v>81</v>
      </c>
      <c r="G29" s="1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FA7FD-C3A1-C149-B57F-F5EAC44C31E0}">
  <dimension ref="A1:H17"/>
  <sheetViews>
    <sheetView showGridLines="0" zoomScale="180" zoomScaleNormal="180" workbookViewId="0">
      <selection activeCell="J9" sqref="J9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24.5" bestFit="1" customWidth="1"/>
    <col min="4" max="4" width="5.83203125" bestFit="1" customWidth="1"/>
    <col min="5" max="5" width="12.1640625" bestFit="1" customWidth="1"/>
    <col min="6" max="6" width="10" bestFit="1" customWidth="1"/>
    <col min="7" max="8" width="9.33203125" bestFit="1" customWidth="1"/>
  </cols>
  <sheetData>
    <row r="1" spans="1:8" x14ac:dyDescent="0.2">
      <c r="A1" s="10" t="s">
        <v>15</v>
      </c>
    </row>
    <row r="2" spans="1:8" x14ac:dyDescent="0.2">
      <c r="A2" s="10" t="s">
        <v>55</v>
      </c>
    </row>
    <row r="3" spans="1:8" x14ac:dyDescent="0.2">
      <c r="A3" s="10" t="s">
        <v>56</v>
      </c>
    </row>
    <row r="6" spans="1:8" ht="17" thickBot="1" x14ac:dyDescent="0.25">
      <c r="A6" t="s">
        <v>16</v>
      </c>
    </row>
    <row r="7" spans="1:8" x14ac:dyDescent="0.2">
      <c r="B7" s="13"/>
      <c r="C7" s="13"/>
      <c r="D7" s="13" t="s">
        <v>19</v>
      </c>
      <c r="E7" s="13" t="s">
        <v>21</v>
      </c>
      <c r="F7" s="13" t="s">
        <v>23</v>
      </c>
      <c r="G7" s="13" t="s">
        <v>25</v>
      </c>
      <c r="H7" s="13" t="s">
        <v>25</v>
      </c>
    </row>
    <row r="8" spans="1:8" ht="17" thickBot="1" x14ac:dyDescent="0.25">
      <c r="B8" s="14" t="s">
        <v>17</v>
      </c>
      <c r="C8" s="14" t="s">
        <v>18</v>
      </c>
      <c r="D8" s="14" t="s">
        <v>20</v>
      </c>
      <c r="E8" s="14" t="s">
        <v>22</v>
      </c>
      <c r="F8" s="14" t="s">
        <v>24</v>
      </c>
      <c r="G8" s="14" t="s">
        <v>26</v>
      </c>
      <c r="H8" s="14" t="s">
        <v>27</v>
      </c>
    </row>
    <row r="9" spans="1:8" x14ac:dyDescent="0.2">
      <c r="B9" s="11" t="s">
        <v>33</v>
      </c>
      <c r="C9" s="11" t="s">
        <v>75</v>
      </c>
      <c r="D9" s="11">
        <v>25.000000000000004</v>
      </c>
      <c r="E9" s="11">
        <v>0</v>
      </c>
      <c r="F9" s="11">
        <v>40</v>
      </c>
      <c r="G9" s="11">
        <v>20.000000000000014</v>
      </c>
      <c r="H9" s="11">
        <v>16</v>
      </c>
    </row>
    <row r="10" spans="1:8" ht="17" thickBot="1" x14ac:dyDescent="0.25">
      <c r="B10" s="12" t="s">
        <v>34</v>
      </c>
      <c r="C10" s="12" t="s">
        <v>77</v>
      </c>
      <c r="D10" s="12">
        <v>19.999999999999996</v>
      </c>
      <c r="E10" s="12">
        <v>0</v>
      </c>
      <c r="F10" s="12">
        <v>30</v>
      </c>
      <c r="G10" s="12">
        <v>20</v>
      </c>
      <c r="H10" s="12">
        <v>10.000000000000004</v>
      </c>
    </row>
    <row r="12" spans="1:8" ht="17" thickBot="1" x14ac:dyDescent="0.25">
      <c r="A12" t="s">
        <v>28</v>
      </c>
    </row>
    <row r="13" spans="1:8" x14ac:dyDescent="0.2">
      <c r="B13" s="13"/>
      <c r="C13" s="13"/>
      <c r="D13" s="13" t="s">
        <v>19</v>
      </c>
      <c r="E13" s="13" t="s">
        <v>29</v>
      </c>
      <c r="F13" s="13" t="s">
        <v>31</v>
      </c>
      <c r="G13" s="13" t="s">
        <v>25</v>
      </c>
      <c r="H13" s="13" t="s">
        <v>25</v>
      </c>
    </row>
    <row r="14" spans="1:8" ht="17" thickBot="1" x14ac:dyDescent="0.25">
      <c r="B14" s="14" t="s">
        <v>17</v>
      </c>
      <c r="C14" s="14" t="s">
        <v>18</v>
      </c>
      <c r="D14" s="14" t="s">
        <v>20</v>
      </c>
      <c r="E14" s="14" t="s">
        <v>30</v>
      </c>
      <c r="F14" s="14" t="s">
        <v>32</v>
      </c>
      <c r="G14" s="14" t="s">
        <v>26</v>
      </c>
      <c r="H14" s="14" t="s">
        <v>27</v>
      </c>
    </row>
    <row r="15" spans="1:8" x14ac:dyDescent="0.2">
      <c r="B15" s="11" t="s">
        <v>78</v>
      </c>
      <c r="C15" s="11" t="s">
        <v>79</v>
      </c>
      <c r="D15" s="11">
        <v>20</v>
      </c>
      <c r="E15" s="11">
        <v>33.333333333333343</v>
      </c>
      <c r="F15" s="11">
        <v>20</v>
      </c>
      <c r="G15" s="11">
        <v>1.5000000000000007</v>
      </c>
      <c r="H15" s="11">
        <v>5.9999999999999991</v>
      </c>
    </row>
    <row r="16" spans="1:8" x14ac:dyDescent="0.2">
      <c r="B16" s="11" t="s">
        <v>82</v>
      </c>
      <c r="C16" s="11" t="s">
        <v>83</v>
      </c>
      <c r="D16" s="11">
        <v>3.9999999999999996</v>
      </c>
      <c r="E16" s="11">
        <v>0</v>
      </c>
      <c r="F16" s="11">
        <v>5</v>
      </c>
      <c r="G16" s="11">
        <v>1E+30</v>
      </c>
      <c r="H16" s="11">
        <v>1.0000000000000004</v>
      </c>
    </row>
    <row r="17" spans="2:8" ht="17" thickBot="1" x14ac:dyDescent="0.25">
      <c r="B17" s="12" t="s">
        <v>86</v>
      </c>
      <c r="C17" s="12" t="s">
        <v>87</v>
      </c>
      <c r="D17" s="12">
        <v>21</v>
      </c>
      <c r="E17" s="12">
        <v>44.444444444444443</v>
      </c>
      <c r="F17" s="12">
        <v>21</v>
      </c>
      <c r="G17" s="12">
        <v>8.9999999999999982</v>
      </c>
      <c r="H17" s="12">
        <v>2.2500000000000009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MockTest_E1_c_d</vt:lpstr>
      <vt:lpstr>MockTest_E1_Ans</vt:lpstr>
      <vt:lpstr>MockTest_E1_SA</vt:lpstr>
      <vt:lpstr>Chap8_E18</vt:lpstr>
      <vt:lpstr>Chap8_E18_Ans</vt:lpstr>
      <vt:lpstr>Chap8_E18_SA</vt:lpstr>
      <vt:lpstr>Chap8_E28</vt:lpstr>
      <vt:lpstr>chap8_E28_SA</vt:lpstr>
      <vt:lpstr>Chap8_RMC</vt:lpstr>
      <vt:lpstr>chap8_RMC_Ans</vt:lpstr>
      <vt:lpstr>chap8_RMC_SA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2026-05-07T08:59:42Z</dcterms:created>
  <dcterms:modified xsi:type="dcterms:W3CDTF">2026-05-10T04:48:49Z</dcterms:modified>
</cp:coreProperties>
</file>