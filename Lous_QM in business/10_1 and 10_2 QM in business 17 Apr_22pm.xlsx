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3299F268-EAAB-764B-8E14-43F8AE308975}" xr6:coauthVersionLast="47" xr6:coauthVersionMax="47" xr10:uidLastSave="{00000000-0000-0000-0000-000000000000}"/>
  <bookViews>
    <workbookView xWindow="360" yWindow="500" windowWidth="28800" windowHeight="16540" activeTab="4" xr2:uid="{D94CBDD9-F745-8045-88CD-F21375479A1B}"/>
  </bookViews>
  <sheets>
    <sheet name="TransportationFosterGenerators" sheetId="1" r:id="rId1"/>
    <sheet name="AssignmntFowleMarketingResearch" sheetId="2" r:id="rId2"/>
    <sheet name="Ans_Report_Fowle_Marketing" sheetId="3" r:id="rId3"/>
    <sheet name="transshipment_RyanElectronics" sheetId="4" r:id="rId4"/>
    <sheet name="Ans_Report_RyanElectronics" sheetId="5" r:id="rId5"/>
  </sheets>
  <definedNames>
    <definedName name="solver_adj" localSheetId="1" hidden="1">AssignmntFowleMarketingResearch!$B$16:$D$18</definedName>
    <definedName name="solver_adj" localSheetId="0" hidden="1">TransportationFosterGenerators!$B$17:$E$19</definedName>
    <definedName name="solver_adj" localSheetId="3" hidden="1">transshipment_RyanElectronics!$C$5:$C$16</definedName>
    <definedName name="solver_cvg" localSheetId="1" hidden="1">0.0001</definedName>
    <definedName name="solver_cvg" localSheetId="0" hidden="1">0.0001</definedName>
    <definedName name="solver_cvg" localSheetId="3" hidden="1">0.0001</definedName>
    <definedName name="solver_drv" localSheetId="1" hidden="1">1</definedName>
    <definedName name="solver_drv" localSheetId="0" hidden="1">1</definedName>
    <definedName name="solver_drv" localSheetId="3" hidden="1">1</definedName>
    <definedName name="solver_eng" localSheetId="1" hidden="1">2</definedName>
    <definedName name="solver_eng" localSheetId="0" hidden="1">2</definedName>
    <definedName name="solver_eng" localSheetId="3" hidden="1">2</definedName>
    <definedName name="solver_itr" localSheetId="1" hidden="1">2147483647</definedName>
    <definedName name="solver_itr" localSheetId="0" hidden="1">2147483647</definedName>
    <definedName name="solver_itr" localSheetId="3" hidden="1">2147483647</definedName>
    <definedName name="solver_lhs1" localSheetId="1" hidden="1">AssignmntFowleMarketingResearch!$B$19:$D$19</definedName>
    <definedName name="solver_lhs1" localSheetId="0" hidden="1">TransportationFosterGenerators!$B$22:$E$22</definedName>
    <definedName name="solver_lhs1" localSheetId="3" hidden="1">transshipment_RyanElectronics!$I$7:$I$8</definedName>
    <definedName name="solver_lhs2" localSheetId="1" hidden="1">AssignmntFowleMarketingResearch!$E$16:$E$18</definedName>
    <definedName name="solver_lhs2" localSheetId="0" hidden="1">TransportationFosterGenerators!$F$17:$F$19</definedName>
    <definedName name="solver_lhs2" localSheetId="3" hidden="1">transshipment_RyanElectronics!$I$9:$I$14</definedName>
    <definedName name="solver_lin" localSheetId="1" hidden="1">1</definedName>
    <definedName name="solver_lin" localSheetId="0" hidden="1">1</definedName>
    <definedName name="solver_lin" localSheetId="3" hidden="1">1</definedName>
    <definedName name="solver_mip" localSheetId="1" hidden="1">2147483647</definedName>
    <definedName name="solver_mip" localSheetId="0" hidden="1">2147483647</definedName>
    <definedName name="solver_mip" localSheetId="3" hidden="1">2147483647</definedName>
    <definedName name="solver_mni" localSheetId="1" hidden="1">30</definedName>
    <definedName name="solver_mni" localSheetId="0" hidden="1">30</definedName>
    <definedName name="solver_mni" localSheetId="3" hidden="1">30</definedName>
    <definedName name="solver_mrt" localSheetId="1" hidden="1">0.075</definedName>
    <definedName name="solver_mrt" localSheetId="0" hidden="1">0.075</definedName>
    <definedName name="solver_mrt" localSheetId="3" hidden="1">0.075</definedName>
    <definedName name="solver_msl" localSheetId="1" hidden="1">2</definedName>
    <definedName name="solver_msl" localSheetId="0" hidden="1">2</definedName>
    <definedName name="solver_msl" localSheetId="3" hidden="1">2</definedName>
    <definedName name="solver_neg" localSheetId="1" hidden="1">1</definedName>
    <definedName name="solver_neg" localSheetId="0" hidden="1">1</definedName>
    <definedName name="solver_neg" localSheetId="3" hidden="1">1</definedName>
    <definedName name="solver_nod" localSheetId="1" hidden="1">2147483647</definedName>
    <definedName name="solver_nod" localSheetId="0" hidden="1">2147483647</definedName>
    <definedName name="solver_nod" localSheetId="3" hidden="1">2147483647</definedName>
    <definedName name="solver_num" localSheetId="1" hidden="1">2</definedName>
    <definedName name="solver_num" localSheetId="0" hidden="1">2</definedName>
    <definedName name="solver_num" localSheetId="3" hidden="1">2</definedName>
    <definedName name="solver_opt" localSheetId="1" hidden="1">AssignmntFowleMarketingResearch!$C$12</definedName>
    <definedName name="solver_opt" localSheetId="0" hidden="1">TransportationFosterGenerators!$A$13</definedName>
    <definedName name="solver_opt" localSheetId="3" hidden="1">transshipment_RyanElectronics!$G$18</definedName>
    <definedName name="solver_pre" localSheetId="1" hidden="1">0.000001</definedName>
    <definedName name="solver_pre" localSheetId="0" hidden="1">0.000001</definedName>
    <definedName name="solver_pre" localSheetId="3" hidden="1">0.000001</definedName>
    <definedName name="solver_rbv" localSheetId="1" hidden="1">1</definedName>
    <definedName name="solver_rbv" localSheetId="0" hidden="1">1</definedName>
    <definedName name="solver_rbv" localSheetId="3" hidden="1">1</definedName>
    <definedName name="solver_rel1" localSheetId="1" hidden="1">2</definedName>
    <definedName name="solver_rel1" localSheetId="0" hidden="1">2</definedName>
    <definedName name="solver_rel1" localSheetId="3" hidden="1">1</definedName>
    <definedName name="solver_rel2" localSheetId="1" hidden="1">1</definedName>
    <definedName name="solver_rel2" localSheetId="0" hidden="1">1</definedName>
    <definedName name="solver_rel2" localSheetId="3" hidden="1">2</definedName>
    <definedName name="solver_rhs1" localSheetId="1" hidden="1">AssignmntFowleMarketingResearch!$B$21:$D$21</definedName>
    <definedName name="solver_rhs1" localSheetId="0" hidden="1">TransportationFosterGenerators!$B$20:$E$20</definedName>
    <definedName name="solver_rhs1" localSheetId="3" hidden="1">transshipment_RyanElectronics!$K$7:$K$8</definedName>
    <definedName name="solver_rhs2" localSheetId="1" hidden="1">AssignmntFowleMarketingResearch!$G$16:$G$18</definedName>
    <definedName name="solver_rhs2" localSheetId="0" hidden="1">TransportationFosterGenerators!$H$17:$H$19</definedName>
    <definedName name="solver_rhs2" localSheetId="3" hidden="1">transshipment_RyanElectronics!$K$9:$K$14</definedName>
    <definedName name="solver_rlx" localSheetId="1" hidden="1">2</definedName>
    <definedName name="solver_rlx" localSheetId="0" hidden="1">2</definedName>
    <definedName name="solver_rlx" localSheetId="3" hidden="1">1</definedName>
    <definedName name="solver_rsd" localSheetId="1" hidden="1">0</definedName>
    <definedName name="solver_rsd" localSheetId="0" hidden="1">0</definedName>
    <definedName name="solver_rsd" localSheetId="3" hidden="1">0</definedName>
    <definedName name="solver_scl" localSheetId="1" hidden="1">1</definedName>
    <definedName name="solver_scl" localSheetId="0" hidden="1">1</definedName>
    <definedName name="solver_scl" localSheetId="3" hidden="1">2</definedName>
    <definedName name="solver_sho" localSheetId="1" hidden="1">2</definedName>
    <definedName name="solver_sho" localSheetId="0" hidden="1">2</definedName>
    <definedName name="solver_sho" localSheetId="3" hidden="1">2</definedName>
    <definedName name="solver_ssz" localSheetId="1" hidden="1">100</definedName>
    <definedName name="solver_ssz" localSheetId="0" hidden="1">100</definedName>
    <definedName name="solver_ssz" localSheetId="3" hidden="1">100</definedName>
    <definedName name="solver_tim" localSheetId="1" hidden="1">2147483647</definedName>
    <definedName name="solver_tim" localSheetId="0" hidden="1">2147483647</definedName>
    <definedName name="solver_tim" localSheetId="3" hidden="1">2147483647</definedName>
    <definedName name="solver_tol" localSheetId="1" hidden="1">0.01</definedName>
    <definedName name="solver_tol" localSheetId="0" hidden="1">0.01</definedName>
    <definedName name="solver_tol" localSheetId="3" hidden="1">0.01</definedName>
    <definedName name="solver_typ" localSheetId="1" hidden="1">2</definedName>
    <definedName name="solver_typ" localSheetId="0" hidden="1">2</definedName>
    <definedName name="solver_typ" localSheetId="3" hidden="1">2</definedName>
    <definedName name="solver_val" localSheetId="1" hidden="1">0</definedName>
    <definedName name="solver_val" localSheetId="0" hidden="1">0</definedName>
    <definedName name="solver_val" localSheetId="3" hidden="1">0</definedName>
    <definedName name="solver_ver" localSheetId="1" hidden="1">2</definedName>
    <definedName name="solver_ver" localSheetId="0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H10" i="4"/>
  <c r="H9" i="4"/>
  <c r="H8" i="4"/>
  <c r="I8" i="4" s="1"/>
  <c r="H7" i="4"/>
  <c r="I7" i="4" s="1"/>
  <c r="G14" i="4"/>
  <c r="I14" i="4" s="1"/>
  <c r="G13" i="4"/>
  <c r="I13" i="4" s="1"/>
  <c r="G12" i="4"/>
  <c r="I12" i="4" s="1"/>
  <c r="G11" i="4"/>
  <c r="I11" i="4" s="1"/>
  <c r="G10" i="4"/>
  <c r="G9" i="4"/>
  <c r="C12" i="2"/>
  <c r="E17" i="2"/>
  <c r="E18" i="2"/>
  <c r="E16" i="2"/>
  <c r="C19" i="2"/>
  <c r="D19" i="2"/>
  <c r="B19" i="2"/>
  <c r="C20" i="1"/>
  <c r="D20" i="1"/>
  <c r="E20" i="1"/>
  <c r="B20" i="1"/>
  <c r="C22" i="1"/>
  <c r="D22" i="1"/>
  <c r="E22" i="1"/>
  <c r="B22" i="1"/>
  <c r="F18" i="1"/>
  <c r="F19" i="1"/>
  <c r="F17" i="1"/>
  <c r="H18" i="1"/>
  <c r="H19" i="1"/>
  <c r="H17" i="1"/>
  <c r="A13" i="1"/>
  <c r="D12" i="2"/>
  <c r="B13" i="1"/>
  <c r="I9" i="4" l="1"/>
  <c r="I10" i="4"/>
</calcChain>
</file>

<file path=xl/sharedStrings.xml><?xml version="1.0" encoding="utf-8"?>
<sst xmlns="http://schemas.openxmlformats.org/spreadsheetml/2006/main" count="281" uniqueCount="182">
  <si>
    <t>Foster Generators</t>
  </si>
  <si>
    <t>Origin</t>
  </si>
  <si>
    <t>Destination</t>
  </si>
  <si>
    <t>to Boston</t>
  </si>
  <si>
    <t>to Chicago</t>
  </si>
  <si>
    <t>to St. Louis</t>
  </si>
  <si>
    <t>to Lexington</t>
  </si>
  <si>
    <t>Supply</t>
  </si>
  <si>
    <t>Cleveland</t>
  </si>
  <si>
    <t>Bedford</t>
  </si>
  <si>
    <t>York</t>
  </si>
  <si>
    <t>Demand</t>
  </si>
  <si>
    <t xml:space="preserve">Model </t>
  </si>
  <si>
    <t>Minimize total cost</t>
  </si>
  <si>
    <t>&lt;=</t>
  </si>
  <si>
    <t>=</t>
  </si>
  <si>
    <t>Supply (LHS)</t>
  </si>
  <si>
    <t xml:space="preserve">RHS Supply constraints </t>
  </si>
  <si>
    <t>Total (RHS demand constraints)</t>
  </si>
  <si>
    <t>Fowle Marketing research</t>
  </si>
  <si>
    <t>Client</t>
  </si>
  <si>
    <t>Project Leader</t>
  </si>
  <si>
    <t>Terry</t>
  </si>
  <si>
    <t>Carle</t>
  </si>
  <si>
    <t>McClymonds</t>
  </si>
  <si>
    <t>Model</t>
  </si>
  <si>
    <t>Minimize completion time</t>
  </si>
  <si>
    <t>to Client 1</t>
  </si>
  <si>
    <t>to Client 2</t>
  </si>
  <si>
    <t>to Client 3</t>
  </si>
  <si>
    <t xml:space="preserve">Total </t>
  </si>
  <si>
    <t>Total (LHS)</t>
  </si>
  <si>
    <t>RHS</t>
  </si>
  <si>
    <t>? amount shipped from each origin to each destination</t>
  </si>
  <si>
    <t>? assigned_task = 'yes' / 'no' (1 / 0)</t>
  </si>
  <si>
    <t>Microsoft Excel 16.77 Answer Report</t>
  </si>
  <si>
    <t>Worksheet: [10_1 and 10_2 QM in business 17 Apr.xlsx]Fowle_Marketing_Research</t>
  </si>
  <si>
    <t>Report Created: 17/04/2026 12:48:20</t>
  </si>
  <si>
    <t>Result: Solver found a solution.  All constraints and optimality conditions are satisfied.</t>
  </si>
  <si>
    <t>Solver Engine</t>
  </si>
  <si>
    <t>Engine: Simplex LP</t>
  </si>
  <si>
    <t>Solution Time: 1802.342 Seconds.</t>
  </si>
  <si>
    <t>Iterations: 8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</si>
  <si>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</si>
  <si>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</si>
  <si>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</si>
  <si>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</si>
  <si>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</si>
  <si>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</si>
  <si>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</si>
  <si>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</si>
  <si>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</si>
  <si>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</si>
  <si>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</si>
  <si>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</si>
  <si>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</si>
  <si>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</si>
  <si>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</si>
  <si>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$C$12</t>
  </si>
  <si>
    <t>$B$16</t>
  </si>
  <si>
    <t>Terry to Client 1</t>
  </si>
  <si>
    <t>Contin</t>
  </si>
  <si>
    <t>$C$16</t>
  </si>
  <si>
    <t>Terry to Client 2</t>
  </si>
  <si>
    <t>$D$16</t>
  </si>
  <si>
    <t>Terry to Client 3</t>
  </si>
  <si>
    <t>$B$17</t>
  </si>
  <si>
    <t>Carle to Client 1</t>
  </si>
  <si>
    <t>$C$17</t>
  </si>
  <si>
    <t>Carle to Client 2</t>
  </si>
  <si>
    <t>$D$17</t>
  </si>
  <si>
    <t>Carle to Client 3</t>
  </si>
  <si>
    <t>$B$18</t>
  </si>
  <si>
    <t>McClymonds to Client 1</t>
  </si>
  <si>
    <t>$C$18</t>
  </si>
  <si>
    <t>McClymonds to Client 2</t>
  </si>
  <si>
    <t>$D$18</t>
  </si>
  <si>
    <t>McClymonds to Client 3</t>
  </si>
  <si>
    <t>$B$19</t>
  </si>
  <si>
    <t>Total  to Client 1</t>
  </si>
  <si>
    <t>$B$19=$B$21</t>
  </si>
  <si>
    <t>Binding</t>
  </si>
  <si>
    <t>$C$19</t>
  </si>
  <si>
    <t>Total  to Client 2</t>
  </si>
  <si>
    <t>$C$19=$C$21</t>
  </si>
  <si>
    <t>$D$19</t>
  </si>
  <si>
    <t>Total  to Client 3</t>
  </si>
  <si>
    <t>$D$19=$D$21</t>
  </si>
  <si>
    <t>$E$16</t>
  </si>
  <si>
    <t>Terry Total (LHS)</t>
  </si>
  <si>
    <t>$E$16&lt;=$G$16</t>
  </si>
  <si>
    <t>$E$17</t>
  </si>
  <si>
    <t>Carle Total (LHS)</t>
  </si>
  <si>
    <t>$E$17&lt;=$G$17</t>
  </si>
  <si>
    <t>$E$18</t>
  </si>
  <si>
    <t>McClymonds Total (LHS)</t>
  </si>
  <si>
    <t>$E$18&lt;=$G$18</t>
  </si>
  <si>
    <t>Ryan Electronics Transshipment</t>
  </si>
  <si>
    <t>Arc</t>
  </si>
  <si>
    <t>Cost</t>
  </si>
  <si>
    <t>Atlanta - Kansas City</t>
  </si>
  <si>
    <t>Denver - Louisville</t>
  </si>
  <si>
    <t>Denver - Kansas city</t>
  </si>
  <si>
    <t>Atlanta - Louisville</t>
  </si>
  <si>
    <t>Kansas City - Detroit</t>
  </si>
  <si>
    <t>Kansas City - Miami</t>
  </si>
  <si>
    <t>Kansas City - Dallas</t>
  </si>
  <si>
    <t>Kansas City - New Orleans</t>
  </si>
  <si>
    <t>Louisville - Detroit</t>
  </si>
  <si>
    <t>Louisville - Miami</t>
  </si>
  <si>
    <t>Louisville - Dallas</t>
  </si>
  <si>
    <t>Louisville - New Orleans</t>
  </si>
  <si>
    <t>Units shipped</t>
  </si>
  <si>
    <t>Net</t>
  </si>
  <si>
    <t>Nodes</t>
  </si>
  <si>
    <t xml:space="preserve">In </t>
  </si>
  <si>
    <t>out</t>
  </si>
  <si>
    <t>shipments</t>
  </si>
  <si>
    <t>Denver</t>
  </si>
  <si>
    <t>Atlanta</t>
  </si>
  <si>
    <t>Kansas city</t>
  </si>
  <si>
    <t>Louisville</t>
  </si>
  <si>
    <t>Detroit</t>
  </si>
  <si>
    <t>Miami</t>
  </si>
  <si>
    <t>Dallas</t>
  </si>
  <si>
    <t>New Orleans</t>
  </si>
  <si>
    <t>RHS constraints</t>
  </si>
  <si>
    <t>decision vars</t>
  </si>
  <si>
    <t>Worksheet: [10_1 and 10_2 QM in business 17 Apr.xlsx]transshipment_RyanElectronics</t>
  </si>
  <si>
    <t>Report Created: 17/04/2026 16:06:24</t>
  </si>
  <si>
    <t>Solution Time: 1844.472 Seconds.</t>
  </si>
  <si>
    <t>Iterations: 12 Subproblems: 0</t>
  </si>
  <si>
    <t>Max Time Unlimited, Iterations Unlimited, Precision 1E-06</t>
  </si>
  <si>
    <t>Max Subproblems Unlimited, Max Integer Sols Unlimited, Integer Tolerance 1%, Solve Without Integer Constraints, Assume NonNegative</t>
  </si>
  <si>
    <t>$G$18</t>
  </si>
  <si>
    <t xml:space="preserve">Minimize total cost In </t>
  </si>
  <si>
    <t>$C$5</t>
  </si>
  <si>
    <t>Denver - Kansas city decision vars</t>
  </si>
  <si>
    <t>$C$6</t>
  </si>
  <si>
    <t>Denver - Louisville decision vars</t>
  </si>
  <si>
    <t>$C$7</t>
  </si>
  <si>
    <t>Atlanta - Kansas City decision vars</t>
  </si>
  <si>
    <t>$C$8</t>
  </si>
  <si>
    <t>Atlanta - Louisville decision vars</t>
  </si>
  <si>
    <t>$C$9</t>
  </si>
  <si>
    <t>Kansas City - Detroit decision vars</t>
  </si>
  <si>
    <t>$C$10</t>
  </si>
  <si>
    <t>Kansas City - Miami decision vars</t>
  </si>
  <si>
    <t>$C$11</t>
  </si>
  <si>
    <t>Kansas City - Dallas decision vars</t>
  </si>
  <si>
    <t>Kansas City - New Orleans decision vars</t>
  </si>
  <si>
    <t>$C$13</t>
  </si>
  <si>
    <t>Louisville - Detroit decision vars</t>
  </si>
  <si>
    <t>$C$14</t>
  </si>
  <si>
    <t>Louisville - Miami decision vars</t>
  </si>
  <si>
    <t>$C$15</t>
  </si>
  <si>
    <t>Louisville - Dallas decision vars</t>
  </si>
  <si>
    <t>Louisville - New Orleans decision vars</t>
  </si>
  <si>
    <t>$I$7</t>
  </si>
  <si>
    <t>Denver shipments</t>
  </si>
  <si>
    <t>$I$7&lt;=$K$7</t>
  </si>
  <si>
    <t>$I$8</t>
  </si>
  <si>
    <t>Atlanta shipments</t>
  </si>
  <si>
    <t>$I$8&lt;=$K$8</t>
  </si>
  <si>
    <t>$I$9</t>
  </si>
  <si>
    <t>Kansas city shipments</t>
  </si>
  <si>
    <t>$I$9=$K$9</t>
  </si>
  <si>
    <t>$I$10</t>
  </si>
  <si>
    <t>Louisville shipments</t>
  </si>
  <si>
    <t>$I$10=$K$10</t>
  </si>
  <si>
    <t>$I$11</t>
  </si>
  <si>
    <t>Detroit shipments</t>
  </si>
  <si>
    <t>$I$11=$K$11</t>
  </si>
  <si>
    <t>$I$12</t>
  </si>
  <si>
    <t>Miami shipments</t>
  </si>
  <si>
    <t>$I$12=$K$12</t>
  </si>
  <si>
    <t>$I$13</t>
  </si>
  <si>
    <t>Dallas shipments</t>
  </si>
  <si>
    <t>$I$13=$K$13</t>
  </si>
  <si>
    <t>$I$14</t>
  </si>
  <si>
    <t>New Orleans shipments</t>
  </si>
  <si>
    <t>$I$14=$K$14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</si>
</sst>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0" borderId="0" xfId="0" applyFill="1"/>
    <xf numFmtId="0" fontId="0" fillId="7" borderId="0" xfId="0" applyFill="1" applyAlignment="1">
      <alignment horizontal="center"/>
    </xf>
    <xf numFmtId="0" fontId="0" fillId="4" borderId="0" xfId="0" applyFill="1" applyAlignment="1"/>
    <xf numFmtId="0" fontId="2" fillId="7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0" borderId="0" xfId="0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391384</xdr:colOff>
      <xdr:row>0</xdr:row>
      <xdr:rowOff>159746</xdr:rowOff>
    </xdr:from>
    <xdr:to>
      <xdr:col>13</xdr:col>
      <xdr:colOff>758670</xdr:colOff>
      <xdr:row>24</xdr:row>
      <xdr:rowOff>39936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E1465-B5C5-B06B-C476-C24A50CCF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971" t="10407" r="15704" b="3854"/>
        <a:stretch/>
      </xdr:blipFill>
      <xdr:spPr bwMode="auto">
        <a:xfrm>
          <a:off x="6541698" y="159746"/>
          <a:ext cx="4480808" cy="467264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338167</xdr:colOff>
      <xdr:row>1</xdr:row>
      <xdr:rowOff>22544</xdr:rowOff>
    </xdr:from>
    <xdr:to>
      <xdr:col>12</xdr:col>
      <xdr:colOff>157810</xdr:colOff>
      <xdr:row>22</xdr:row>
      <xdr:rowOff>123959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6040D-A9CD-15EF-90E4-AFF6D059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0060" y="225443"/>
          <a:ext cx="3952780" cy="43623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290796</xdr:colOff>
      <xdr:row>0</xdr:row>
      <xdr:rowOff>172103</xdr:rowOff>
    </xdr:from>
    <xdr:to>
      <xdr:col>16</xdr:col>
      <xdr:colOff>521341</xdr:colOff>
      <xdr:row>18</xdr:row>
      <xdr:rowOff>54378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C2C0F-265A-1701-FE7C-CF9132193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3132" y="172103"/>
          <a:ext cx="3530171" cy="3514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63CC-7510-1A46-BB3A-4C1CD02FEA39}">
  <dimension ref="A1:J22"/>
  <sheetViews>
    <sheetView topLeftCell="A12" zoomScale="159" zoomScaleNormal="159" workbookViewId="0">
      <selection activeCell="H8" sqref="H8"/>
    </sheetView>
  </sheetViews>
  <sheetFormatPr baseColWidth="10" defaultRowHeight="16" x14ac:dyDescent="0.2"/>
  <cols>
    <col min="6" max="6" width="11.1640625" customWidth="1"/>
    <col min="7" max="7" width="4.6640625" customWidth="1"/>
  </cols>
  <sheetData>
    <row r="1" spans="1:10" x14ac:dyDescent="0.2">
      <c r="A1" s="1" t="s">
        <v>0</v>
      </c>
    </row>
    <row r="3" spans="1:10" x14ac:dyDescent="0.2">
      <c r="B3" s="9" t="s">
        <v>2</v>
      </c>
      <c r="C3" s="9"/>
      <c r="D3" s="9"/>
      <c r="E3" s="9"/>
    </row>
    <row r="4" spans="1:10" x14ac:dyDescent="0.2">
      <c r="A4" s="1" t="s">
        <v>1</v>
      </c>
      <c r="B4" t="s">
        <v>3</v>
      </c>
      <c r="C4" t="s">
        <v>4</v>
      </c>
      <c r="D4" t="s">
        <v>5</v>
      </c>
      <c r="E4" t="s">
        <v>6</v>
      </c>
      <c r="F4" s="15" t="s">
        <v>7</v>
      </c>
    </row>
    <row r="5" spans="1:10" x14ac:dyDescent="0.2">
      <c r="A5" t="s">
        <v>8</v>
      </c>
      <c r="B5" s="8">
        <v>3</v>
      </c>
      <c r="C5" s="8">
        <v>2</v>
      </c>
      <c r="D5" s="8">
        <v>7</v>
      </c>
      <c r="E5" s="8">
        <v>6</v>
      </c>
      <c r="F5" s="13">
        <v>5000</v>
      </c>
      <c r="I5" s="12"/>
      <c r="J5" s="12"/>
    </row>
    <row r="6" spans="1:10" x14ac:dyDescent="0.2">
      <c r="A6" t="s">
        <v>9</v>
      </c>
      <c r="B6" s="8">
        <v>7</v>
      </c>
      <c r="C6" s="8">
        <v>5</v>
      </c>
      <c r="D6" s="8">
        <v>2</v>
      </c>
      <c r="E6" s="8">
        <v>3</v>
      </c>
      <c r="F6" s="13">
        <v>6000</v>
      </c>
    </row>
    <row r="7" spans="1:10" x14ac:dyDescent="0.2">
      <c r="A7" t="s">
        <v>10</v>
      </c>
      <c r="B7" s="8">
        <v>2</v>
      </c>
      <c r="C7" s="8">
        <v>5</v>
      </c>
      <c r="D7" s="8">
        <v>4</v>
      </c>
      <c r="E7" s="8">
        <v>5</v>
      </c>
      <c r="F7" s="13">
        <v>2500</v>
      </c>
    </row>
    <row r="8" spans="1:10" x14ac:dyDescent="0.2">
      <c r="A8" s="16" t="s">
        <v>11</v>
      </c>
      <c r="B8" s="17">
        <v>6000</v>
      </c>
      <c r="C8" s="17">
        <v>4000</v>
      </c>
      <c r="D8" s="17">
        <v>2000</v>
      </c>
      <c r="E8" s="17">
        <v>1500</v>
      </c>
      <c r="F8" s="2"/>
    </row>
    <row r="11" spans="1:10" x14ac:dyDescent="0.2">
      <c r="A11" s="1" t="s">
        <v>12</v>
      </c>
      <c r="C11" t="s">
        <v>33</v>
      </c>
    </row>
    <row r="12" spans="1:10" x14ac:dyDescent="0.2">
      <c r="A12" t="s">
        <v>13</v>
      </c>
    </row>
    <row r="13" spans="1:10" x14ac:dyDescent="0.2">
      <c r="A13" s="11">
        <f>SUMPRODUCT(B5:E7, B17:E19)</f>
        <v>39500</v>
      </c>
      <c r="B13" s="3" t="str">
        <f ca="1">_xlfn.FORMULATEXT(A13)</f>
        <v>=SUMPRODUCT(B5:E7, B17:E19)</v>
      </c>
    </row>
    <row r="15" spans="1:10" x14ac:dyDescent="0.2">
      <c r="B15" s="9" t="s">
        <v>2</v>
      </c>
      <c r="C15" s="9"/>
      <c r="D15" s="9"/>
      <c r="E15" s="9"/>
    </row>
    <row r="16" spans="1:10" x14ac:dyDescent="0.2">
      <c r="A16" s="1" t="s">
        <v>1</v>
      </c>
      <c r="B16" t="s">
        <v>3</v>
      </c>
      <c r="C16" t="s">
        <v>4</v>
      </c>
      <c r="D16" t="s">
        <v>5</v>
      </c>
      <c r="E16" t="s">
        <v>6</v>
      </c>
      <c r="F16" s="1" t="s">
        <v>16</v>
      </c>
      <c r="H16" t="s">
        <v>17</v>
      </c>
    </row>
    <row r="17" spans="1:8" x14ac:dyDescent="0.2">
      <c r="A17" t="s">
        <v>8</v>
      </c>
      <c r="B17" s="7">
        <v>3500</v>
      </c>
      <c r="C17" s="7">
        <v>1500</v>
      </c>
      <c r="D17" s="7">
        <v>0</v>
      </c>
      <c r="E17" s="7">
        <v>0</v>
      </c>
      <c r="F17" s="5">
        <f>SUM(B17:E17)</f>
        <v>5000</v>
      </c>
      <c r="G17" s="2" t="s">
        <v>14</v>
      </c>
      <c r="H17" s="13">
        <f>F5</f>
        <v>5000</v>
      </c>
    </row>
    <row r="18" spans="1:8" x14ac:dyDescent="0.2">
      <c r="A18" t="s">
        <v>9</v>
      </c>
      <c r="B18" s="7">
        <v>0</v>
      </c>
      <c r="C18" s="7">
        <v>2500</v>
      </c>
      <c r="D18" s="7">
        <v>2000</v>
      </c>
      <c r="E18" s="7">
        <v>1500</v>
      </c>
      <c r="F18" s="5">
        <f t="shared" ref="F18:F19" si="0">SUM(B18:E18)</f>
        <v>6000</v>
      </c>
      <c r="G18" s="2" t="s">
        <v>14</v>
      </c>
      <c r="H18" s="13">
        <f t="shared" ref="H18:H19" si="1">F6</f>
        <v>6000</v>
      </c>
    </row>
    <row r="19" spans="1:8" x14ac:dyDescent="0.2">
      <c r="A19" t="s">
        <v>10</v>
      </c>
      <c r="B19" s="7">
        <v>2500</v>
      </c>
      <c r="C19" s="7">
        <v>0</v>
      </c>
      <c r="D19" s="7">
        <v>0</v>
      </c>
      <c r="E19" s="7">
        <v>0</v>
      </c>
      <c r="F19" s="5">
        <f t="shared" si="0"/>
        <v>2500</v>
      </c>
      <c r="G19" s="2" t="s">
        <v>14</v>
      </c>
      <c r="H19" s="13">
        <f t="shared" si="1"/>
        <v>2500</v>
      </c>
    </row>
    <row r="20" spans="1:8" x14ac:dyDescent="0.2">
      <c r="A20" s="1" t="s">
        <v>18</v>
      </c>
      <c r="B20" s="6">
        <f>B8</f>
        <v>6000</v>
      </c>
      <c r="C20" s="6">
        <f t="shared" ref="C20:E20" si="2">C8</f>
        <v>4000</v>
      </c>
      <c r="D20" s="6">
        <f t="shared" si="2"/>
        <v>2000</v>
      </c>
      <c r="E20" s="6">
        <f t="shared" si="2"/>
        <v>1500</v>
      </c>
      <c r="F20" s="2"/>
      <c r="G20" s="2"/>
      <c r="H20" s="2"/>
    </row>
    <row r="21" spans="1:8" x14ac:dyDescent="0.2">
      <c r="B21" s="4" t="s">
        <v>15</v>
      </c>
      <c r="C21" s="4" t="s">
        <v>15</v>
      </c>
      <c r="D21" s="4" t="s">
        <v>15</v>
      </c>
      <c r="E21" s="4" t="s">
        <v>15</v>
      </c>
      <c r="F21" s="2"/>
      <c r="G21" s="2"/>
      <c r="H21" s="2"/>
    </row>
    <row r="22" spans="1:8" x14ac:dyDescent="0.2">
      <c r="B22" s="17">
        <f>SUM(B17:B19)</f>
        <v>6000</v>
      </c>
      <c r="C22" s="17">
        <f t="shared" ref="C22:E22" si="3">SUM(C17:C19)</f>
        <v>4000</v>
      </c>
      <c r="D22" s="17">
        <f t="shared" si="3"/>
        <v>2000</v>
      </c>
      <c r="E22" s="17">
        <f t="shared" si="3"/>
        <v>1500</v>
      </c>
      <c r="F22" s="2"/>
      <c r="G22" s="2"/>
      <c r="H22" s="2"/>
    </row>
  </sheetData>
  <mergeCells count="2">
    <mergeCell ref="B3:E3"/>
    <mergeCell ref="B15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A2AA-C28A-0D4C-A10A-CACB2B19195F}">
  <dimension ref="A1:G21"/>
  <sheetViews>
    <sheetView zoomScale="169" zoomScaleNormal="169" workbookViewId="0">
      <selection activeCell="F5" sqref="F5"/>
    </sheetView>
  </sheetViews>
  <sheetFormatPr baseColWidth="10" defaultRowHeight="16" x14ac:dyDescent="0.2"/>
  <cols>
    <col min="1" max="1" width="13.1640625" customWidth="1"/>
    <col min="2" max="2" width="11.83203125" customWidth="1"/>
  </cols>
  <sheetData>
    <row r="1" spans="1:7" x14ac:dyDescent="0.2">
      <c r="A1" s="1" t="s">
        <v>19</v>
      </c>
    </row>
    <row r="3" spans="1:7" x14ac:dyDescent="0.2">
      <c r="B3" s="9" t="s">
        <v>20</v>
      </c>
      <c r="C3" s="9"/>
      <c r="D3" s="9"/>
    </row>
    <row r="4" spans="1:7" x14ac:dyDescent="0.2">
      <c r="A4" s="1" t="s">
        <v>21</v>
      </c>
      <c r="B4" s="2">
        <v>1</v>
      </c>
      <c r="C4" s="2">
        <v>2</v>
      </c>
      <c r="D4" s="2">
        <v>3</v>
      </c>
      <c r="E4" s="12"/>
    </row>
    <row r="5" spans="1:7" x14ac:dyDescent="0.2">
      <c r="A5" t="s">
        <v>22</v>
      </c>
      <c r="B5" s="8">
        <v>10</v>
      </c>
      <c r="C5" s="8">
        <v>15</v>
      </c>
      <c r="D5" s="8">
        <v>9</v>
      </c>
      <c r="E5" s="12"/>
    </row>
    <row r="6" spans="1:7" x14ac:dyDescent="0.2">
      <c r="A6" t="s">
        <v>23</v>
      </c>
      <c r="B6" s="8">
        <v>9</v>
      </c>
      <c r="C6" s="8">
        <v>18</v>
      </c>
      <c r="D6" s="8">
        <v>5</v>
      </c>
      <c r="E6" s="12"/>
    </row>
    <row r="7" spans="1:7" x14ac:dyDescent="0.2">
      <c r="A7" t="s">
        <v>24</v>
      </c>
      <c r="B7" s="8">
        <v>6</v>
      </c>
      <c r="C7" s="8">
        <v>14</v>
      </c>
      <c r="D7" s="8">
        <v>3</v>
      </c>
      <c r="E7" s="12"/>
    </row>
    <row r="8" spans="1:7" x14ac:dyDescent="0.2">
      <c r="B8" s="12"/>
      <c r="C8" s="12"/>
      <c r="D8" s="12"/>
    </row>
    <row r="10" spans="1:7" x14ac:dyDescent="0.2">
      <c r="A10" s="1" t="s">
        <v>25</v>
      </c>
      <c r="B10" t="s">
        <v>34</v>
      </c>
    </row>
    <row r="12" spans="1:7" x14ac:dyDescent="0.2">
      <c r="A12" s="1" t="s">
        <v>26</v>
      </c>
      <c r="C12" s="11">
        <f>SUMPRODUCT(B5:D7,B16:D18)</f>
        <v>26</v>
      </c>
      <c r="D12" s="3" t="str">
        <f ca="1">_xlfn.FORMULATEXT(C12)</f>
        <v>=SUMPRODUCT(B5:D7,B16:D18)</v>
      </c>
    </row>
    <row r="14" spans="1:7" x14ac:dyDescent="0.2">
      <c r="B14" s="9" t="s">
        <v>20</v>
      </c>
      <c r="C14" s="9"/>
      <c r="D14" s="9"/>
    </row>
    <row r="15" spans="1:7" x14ac:dyDescent="0.2">
      <c r="A15" s="1" t="s">
        <v>21</v>
      </c>
      <c r="B15" t="s">
        <v>27</v>
      </c>
      <c r="C15" t="s">
        <v>28</v>
      </c>
      <c r="D15" t="s">
        <v>29</v>
      </c>
      <c r="E15" s="1" t="s">
        <v>31</v>
      </c>
      <c r="G15" s="1" t="s">
        <v>32</v>
      </c>
    </row>
    <row r="16" spans="1:7" x14ac:dyDescent="0.2">
      <c r="A16" t="s">
        <v>22</v>
      </c>
      <c r="B16" s="14">
        <v>0</v>
      </c>
      <c r="C16" s="14">
        <v>1</v>
      </c>
      <c r="D16" s="14">
        <v>0</v>
      </c>
      <c r="E16" s="18">
        <f>SUM(B16:D16)</f>
        <v>1</v>
      </c>
      <c r="F16" s="2" t="s">
        <v>14</v>
      </c>
      <c r="G16" s="13">
        <v>1</v>
      </c>
    </row>
    <row r="17" spans="1:7" x14ac:dyDescent="0.2">
      <c r="A17" t="s">
        <v>23</v>
      </c>
      <c r="B17" s="14">
        <v>0</v>
      </c>
      <c r="C17" s="14">
        <v>0</v>
      </c>
      <c r="D17" s="14">
        <v>1</v>
      </c>
      <c r="E17" s="18">
        <f t="shared" ref="E17:E18" si="0">SUM(B17:D17)</f>
        <v>1</v>
      </c>
      <c r="F17" s="2" t="s">
        <v>14</v>
      </c>
      <c r="G17" s="13">
        <v>1</v>
      </c>
    </row>
    <row r="18" spans="1:7" x14ac:dyDescent="0.2">
      <c r="A18" t="s">
        <v>24</v>
      </c>
      <c r="B18" s="14">
        <v>1</v>
      </c>
      <c r="C18" s="14">
        <v>0</v>
      </c>
      <c r="D18" s="14">
        <v>0</v>
      </c>
      <c r="E18" s="18">
        <f t="shared" si="0"/>
        <v>1</v>
      </c>
      <c r="F18" s="2" t="s">
        <v>14</v>
      </c>
      <c r="G18" s="13">
        <v>1</v>
      </c>
    </row>
    <row r="19" spans="1:7" x14ac:dyDescent="0.2">
      <c r="A19" s="1" t="s">
        <v>30</v>
      </c>
      <c r="B19" s="17">
        <f>SUM(B16:B18)</f>
        <v>1</v>
      </c>
      <c r="C19" s="17">
        <f t="shared" ref="C19:D19" si="1">SUM(C16:C18)</f>
        <v>1</v>
      </c>
      <c r="D19" s="17">
        <f t="shared" si="1"/>
        <v>1</v>
      </c>
    </row>
    <row r="20" spans="1:7" x14ac:dyDescent="0.2">
      <c r="B20" s="4" t="s">
        <v>15</v>
      </c>
      <c r="C20" s="4" t="s">
        <v>15</v>
      </c>
      <c r="D20" s="4" t="s">
        <v>15</v>
      </c>
    </row>
    <row r="21" spans="1:7" x14ac:dyDescent="0.2">
      <c r="B21" s="17">
        <v>1</v>
      </c>
      <c r="C21" s="17">
        <v>1</v>
      </c>
      <c r="D21" s="17">
        <v>1</v>
      </c>
    </row>
  </sheetData>
  <mergeCells count="2">
    <mergeCell ref="B3:D3"/>
    <mergeCell ref="B14:D14"/>
  </mergeCells>
  <dataValidations count="5">
    <dataValidation allowBlank="1" showInputMessage="1" showErrorMessage="1" promptTitle="LHS" prompt="# tasks assigned to each agent" sqref="E15" xr:uid="{25FE0E98-6329-DC4B-B812-CA33B01E55E3}"/>
    <dataValidation allowBlank="1" showInputMessage="1" showErrorMessage="1" promptTitle="RHS" prompt="#  tasks each agent can handle" sqref="G15" xr:uid="{CE5ABD71-24CC-C745-8BB1-C3C88CD250FC}"/>
    <dataValidation allowBlank="1" showInputMessage="1" showErrorMessage="1" promptTitle="Agents" prompt="agents" sqref="A15" xr:uid="{CFF44E5B-827C-E241-9098-5D1693405A5C}"/>
    <dataValidation allowBlank="1" showInputMessage="1" showErrorMessage="1" promptTitle="LHS" prompt="# agents assigned to each task" sqref="B19" xr:uid="{90F28F2C-A7C5-494A-B629-D3A657E6C423}"/>
    <dataValidation allowBlank="1" showInputMessage="1" showErrorMessage="1" promptTitle="RHS" prompt="# agents each task requires" sqref="B21" xr:uid="{26794667-06EA-1246-B5EB-A65CA156494B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81F4-B042-7541-835B-0424E96696C0}">
  <dimension ref="A1:G39"/>
  <sheetViews>
    <sheetView showGridLines="0" workbookViewId="0">
      <selection activeCell="J29" sqref="J29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3.1640625" bestFit="1" customWidth="1"/>
    <col min="4" max="4" width="12.83203125" bestFit="1" customWidth="1"/>
    <col min="5" max="5" width="13.5" bestFit="1" customWidth="1"/>
    <col min="6" max="6" width="7.33203125" bestFit="1" customWidth="1"/>
    <col min="7" max="7" width="5.5" bestFit="1" customWidth="1"/>
  </cols>
  <sheetData>
    <row r="1" spans="1:5" x14ac:dyDescent="0.2">
      <c r="A1" s="1" t="s">
        <v>35</v>
      </c>
    </row>
    <row r="2" spans="1:5" x14ac:dyDescent="0.2">
      <c r="A2" s="1" t="s">
        <v>36</v>
      </c>
    </row>
    <row r="3" spans="1:5" x14ac:dyDescent="0.2">
      <c r="A3" s="1" t="s">
        <v>37</v>
      </c>
    </row>
    <row r="4" spans="1:5" x14ac:dyDescent="0.2">
      <c r="A4" s="1" t="s">
        <v>38</v>
      </c>
    </row>
    <row r="5" spans="1:5" x14ac:dyDescent="0.2">
      <c r="A5" s="1" t="s">
        <v>39</v>
      </c>
    </row>
    <row r="6" spans="1:5" x14ac:dyDescent="0.2">
      <c r="A6" s="1"/>
      <c r="B6" t="s">
        <v>40</v>
      </c>
    </row>
    <row r="7" spans="1:5" x14ac:dyDescent="0.2">
      <c r="A7" s="1"/>
      <c r="B7" t="s">
        <v>41</v>
      </c>
    </row>
    <row r="8" spans="1:5" x14ac:dyDescent="0.2">
      <c r="A8" s="1"/>
      <c r="B8" t="s">
        <v>42</v>
      </c>
    </row>
    <row r="9" spans="1:5" x14ac:dyDescent="0.2">
      <c r="A9" s="1" t="s">
        <v>43</v>
      </c>
    </row>
    <row r="10" spans="1:5" x14ac:dyDescent="0.2">
      <c r="B10" t="s">
        <v>44</v>
      </c>
    </row>
    <row r="11" spans="1:5" x14ac:dyDescent="0.2">
      <c r="B11" t="s">
        <v>45</v>
      </c>
    </row>
    <row r="14" spans="1:5" ht="17" thickBot="1" x14ac:dyDescent="0.25">
      <c r="A14" t="s">
        <v>46</v>
      </c>
    </row>
    <row r="15" spans="1:5" ht="17" thickBot="1" x14ac:dyDescent="0.25">
      <c r="B15" s="20" t="s">
        <v>47</v>
      </c>
      <c r="C15" s="20" t="s">
        <v>48</v>
      </c>
      <c r="D15" s="20" t="s">
        <v>49</v>
      </c>
      <c r="E15" s="20" t="s">
        <v>50</v>
      </c>
    </row>
    <row r="16" spans="1:5" ht="17" thickBot="1" x14ac:dyDescent="0.25">
      <c r="B16" s="19" t="s">
        <v>58</v>
      </c>
      <c r="C16" s="19" t="s">
        <v>26</v>
      </c>
      <c r="D16" s="22">
        <v>0</v>
      </c>
      <c r="E16" s="22">
        <v>26</v>
      </c>
    </row>
    <row r="19" spans="1:6" ht="17" thickBot="1" x14ac:dyDescent="0.25">
      <c r="A19" t="s">
        <v>51</v>
      </c>
    </row>
    <row r="20" spans="1:6" ht="17" thickBot="1" x14ac:dyDescent="0.25">
      <c r="B20" s="20" t="s">
        <v>47</v>
      </c>
      <c r="C20" s="20" t="s">
        <v>48</v>
      </c>
      <c r="D20" s="20" t="s">
        <v>49</v>
      </c>
      <c r="E20" s="20" t="s">
        <v>50</v>
      </c>
      <c r="F20" s="20" t="s">
        <v>52</v>
      </c>
    </row>
    <row r="21" spans="1:6" x14ac:dyDescent="0.2">
      <c r="B21" s="21" t="s">
        <v>59</v>
      </c>
      <c r="C21" s="21" t="s">
        <v>60</v>
      </c>
      <c r="D21" s="23">
        <v>0</v>
      </c>
      <c r="E21" s="23">
        <v>0</v>
      </c>
      <c r="F21" s="21" t="s">
        <v>61</v>
      </c>
    </row>
    <row r="22" spans="1:6" x14ac:dyDescent="0.2">
      <c r="B22" s="21" t="s">
        <v>62</v>
      </c>
      <c r="C22" s="21" t="s">
        <v>63</v>
      </c>
      <c r="D22" s="23">
        <v>0</v>
      </c>
      <c r="E22" s="23">
        <v>1</v>
      </c>
      <c r="F22" s="21" t="s">
        <v>61</v>
      </c>
    </row>
    <row r="23" spans="1:6" x14ac:dyDescent="0.2">
      <c r="B23" s="21" t="s">
        <v>64</v>
      </c>
      <c r="C23" s="21" t="s">
        <v>65</v>
      </c>
      <c r="D23" s="23">
        <v>0</v>
      </c>
      <c r="E23" s="23">
        <v>0</v>
      </c>
      <c r="F23" s="21" t="s">
        <v>61</v>
      </c>
    </row>
    <row r="24" spans="1:6" x14ac:dyDescent="0.2">
      <c r="B24" s="21" t="s">
        <v>66</v>
      </c>
      <c r="C24" s="21" t="s">
        <v>67</v>
      </c>
      <c r="D24" s="23">
        <v>0</v>
      </c>
      <c r="E24" s="23">
        <v>0</v>
      </c>
      <c r="F24" s="21" t="s">
        <v>61</v>
      </c>
    </row>
    <row r="25" spans="1:6" x14ac:dyDescent="0.2">
      <c r="B25" s="21" t="s">
        <v>68</v>
      </c>
      <c r="C25" s="21" t="s">
        <v>69</v>
      </c>
      <c r="D25" s="23">
        <v>0</v>
      </c>
      <c r="E25" s="23">
        <v>0</v>
      </c>
      <c r="F25" s="21" t="s">
        <v>61</v>
      </c>
    </row>
    <row r="26" spans="1:6" x14ac:dyDescent="0.2">
      <c r="B26" s="21" t="s">
        <v>70</v>
      </c>
      <c r="C26" s="21" t="s">
        <v>71</v>
      </c>
      <c r="D26" s="23">
        <v>0</v>
      </c>
      <c r="E26" s="23">
        <v>1</v>
      </c>
      <c r="F26" s="21" t="s">
        <v>61</v>
      </c>
    </row>
    <row r="27" spans="1:6" x14ac:dyDescent="0.2">
      <c r="B27" s="21" t="s">
        <v>72</v>
      </c>
      <c r="C27" s="21" t="s">
        <v>73</v>
      </c>
      <c r="D27" s="23">
        <v>0</v>
      </c>
      <c r="E27" s="23">
        <v>1</v>
      </c>
      <c r="F27" s="21" t="s">
        <v>61</v>
      </c>
    </row>
    <row r="28" spans="1:6" x14ac:dyDescent="0.2">
      <c r="B28" s="21" t="s">
        <v>74</v>
      </c>
      <c r="C28" s="21" t="s">
        <v>75</v>
      </c>
      <c r="D28" s="23">
        <v>0</v>
      </c>
      <c r="E28" s="23">
        <v>0</v>
      </c>
      <c r="F28" s="21" t="s">
        <v>61</v>
      </c>
    </row>
    <row r="29" spans="1:6" ht="17" thickBot="1" x14ac:dyDescent="0.25">
      <c r="B29" s="19" t="s">
        <v>76</v>
      </c>
      <c r="C29" s="19" t="s">
        <v>77</v>
      </c>
      <c r="D29" s="22">
        <v>0</v>
      </c>
      <c r="E29" s="22">
        <v>0</v>
      </c>
      <c r="F29" s="19" t="s">
        <v>61</v>
      </c>
    </row>
    <row r="32" spans="1:6" ht="17" thickBot="1" x14ac:dyDescent="0.25">
      <c r="A32" t="s">
        <v>53</v>
      </c>
    </row>
    <row r="33" spans="2:7" ht="17" thickBot="1" x14ac:dyDescent="0.25">
      <c r="B33" s="20" t="s">
        <v>47</v>
      </c>
      <c r="C33" s="20" t="s">
        <v>48</v>
      </c>
      <c r="D33" s="20" t="s">
        <v>54</v>
      </c>
      <c r="E33" s="20" t="s">
        <v>55</v>
      </c>
      <c r="F33" s="20" t="s">
        <v>56</v>
      </c>
      <c r="G33" s="20" t="s">
        <v>57</v>
      </c>
    </row>
    <row r="34" spans="2:7" x14ac:dyDescent="0.2">
      <c r="B34" s="21" t="s">
        <v>78</v>
      </c>
      <c r="C34" s="21" t="s">
        <v>79</v>
      </c>
      <c r="D34" s="23">
        <v>1</v>
      </c>
      <c r="E34" s="21" t="s">
        <v>80</v>
      </c>
      <c r="F34" s="21" t="s">
        <v>81</v>
      </c>
      <c r="G34" s="21">
        <v>0</v>
      </c>
    </row>
    <row r="35" spans="2:7" x14ac:dyDescent="0.2">
      <c r="B35" s="21" t="s">
        <v>82</v>
      </c>
      <c r="C35" s="21" t="s">
        <v>83</v>
      </c>
      <c r="D35" s="23">
        <v>1</v>
      </c>
      <c r="E35" s="21" t="s">
        <v>84</v>
      </c>
      <c r="F35" s="21" t="s">
        <v>81</v>
      </c>
      <c r="G35" s="21">
        <v>0</v>
      </c>
    </row>
    <row r="36" spans="2:7" x14ac:dyDescent="0.2">
      <c r="B36" s="21" t="s">
        <v>85</v>
      </c>
      <c r="C36" s="21" t="s">
        <v>86</v>
      </c>
      <c r="D36" s="23">
        <v>1</v>
      </c>
      <c r="E36" s="21" t="s">
        <v>87</v>
      </c>
      <c r="F36" s="21" t="s">
        <v>81</v>
      </c>
      <c r="G36" s="21">
        <v>0</v>
      </c>
    </row>
    <row r="37" spans="2:7" x14ac:dyDescent="0.2">
      <c r="B37" s="21" t="s">
        <v>88</v>
      </c>
      <c r="C37" s="21" t="s">
        <v>89</v>
      </c>
      <c r="D37" s="23">
        <v>1</v>
      </c>
      <c r="E37" s="21" t="s">
        <v>90</v>
      </c>
      <c r="F37" s="21" t="s">
        <v>81</v>
      </c>
      <c r="G37" s="21">
        <v>0</v>
      </c>
    </row>
    <row r="38" spans="2:7" x14ac:dyDescent="0.2">
      <c r="B38" s="21" t="s">
        <v>91</v>
      </c>
      <c r="C38" s="21" t="s">
        <v>92</v>
      </c>
      <c r="D38" s="23">
        <v>1</v>
      </c>
      <c r="E38" s="21" t="s">
        <v>93</v>
      </c>
      <c r="F38" s="21" t="s">
        <v>81</v>
      </c>
      <c r="G38" s="21">
        <v>0</v>
      </c>
    </row>
    <row r="39" spans="2:7" ht="17" thickBot="1" x14ac:dyDescent="0.25">
      <c r="B39" s="19" t="s">
        <v>94</v>
      </c>
      <c r="C39" s="19" t="s">
        <v>95</v>
      </c>
      <c r="D39" s="22">
        <v>1</v>
      </c>
      <c r="E39" s="19" t="s">
        <v>96</v>
      </c>
      <c r="F39" s="19" t="s">
        <v>81</v>
      </c>
      <c r="G39" s="19">
        <v>0</v>
      </c>
    </row>
  </sheetData>
  <dataValidations count="1">
    <dataValidation allowBlank="1" showInputMessage="1" showErrorMessage="1" promptTitle="binding" prompt="used fully" sqref="F34" xr:uid="{FC8E15FE-5F51-2249-BFF1-8FC8096DB4C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D89F-2280-6A47-96F1-100F45F3B2AD}">
  <dimension ref="A1:K18"/>
  <sheetViews>
    <sheetView zoomScale="129" zoomScaleNormal="129" workbookViewId="0">
      <selection activeCell="H22" sqref="H22"/>
    </sheetView>
  </sheetViews>
  <sheetFormatPr baseColWidth="10" defaultRowHeight="16" x14ac:dyDescent="0.2"/>
  <cols>
    <col min="1" max="1" width="23.1640625" customWidth="1"/>
    <col min="2" max="2" width="6" customWidth="1"/>
    <col min="3" max="3" width="12" customWidth="1"/>
    <col min="4" max="5" width="3.6640625" customWidth="1"/>
    <col min="6" max="6" width="9.6640625" customWidth="1"/>
    <col min="7" max="7" width="8.6640625" customWidth="1"/>
    <col min="8" max="8" width="6.1640625" customWidth="1"/>
    <col min="10" max="10" width="7.33203125" customWidth="1"/>
    <col min="11" max="11" width="8.6640625" customWidth="1"/>
  </cols>
  <sheetData>
    <row r="1" spans="1:11" x14ac:dyDescent="0.2">
      <c r="A1" s="1" t="s">
        <v>97</v>
      </c>
    </row>
    <row r="4" spans="1:11" x14ac:dyDescent="0.2">
      <c r="A4" t="s">
        <v>98</v>
      </c>
      <c r="B4" s="25" t="s">
        <v>99</v>
      </c>
      <c r="C4" s="34" t="s">
        <v>127</v>
      </c>
    </row>
    <row r="5" spans="1:11" x14ac:dyDescent="0.2">
      <c r="A5" t="s">
        <v>102</v>
      </c>
      <c r="B5" s="25">
        <v>2</v>
      </c>
      <c r="C5" s="31">
        <v>550</v>
      </c>
      <c r="G5" s="24" t="s">
        <v>112</v>
      </c>
      <c r="H5" s="24"/>
      <c r="I5" t="s">
        <v>113</v>
      </c>
    </row>
    <row r="6" spans="1:11" x14ac:dyDescent="0.2">
      <c r="A6" t="s">
        <v>101</v>
      </c>
      <c r="B6" s="25">
        <v>3</v>
      </c>
      <c r="C6" s="31">
        <v>50</v>
      </c>
      <c r="F6" s="25" t="s">
        <v>114</v>
      </c>
      <c r="G6" s="25" t="s">
        <v>115</v>
      </c>
      <c r="H6" s="25" t="s">
        <v>116</v>
      </c>
      <c r="I6" s="25" t="s">
        <v>117</v>
      </c>
      <c r="K6" s="25" t="s">
        <v>126</v>
      </c>
    </row>
    <row r="7" spans="1:11" x14ac:dyDescent="0.2">
      <c r="A7" t="s">
        <v>100</v>
      </c>
      <c r="B7" s="25">
        <v>3</v>
      </c>
      <c r="C7" s="31">
        <v>0</v>
      </c>
      <c r="F7" s="30" t="s">
        <v>118</v>
      </c>
      <c r="G7" s="25"/>
      <c r="H7" s="28">
        <f>C5+C6</f>
        <v>600</v>
      </c>
      <c r="I7" s="27">
        <f>H7-G7</f>
        <v>600</v>
      </c>
      <c r="J7" s="2" t="s">
        <v>14</v>
      </c>
      <c r="K7" s="33">
        <v>600</v>
      </c>
    </row>
    <row r="8" spans="1:11" x14ac:dyDescent="0.2">
      <c r="A8" t="s">
        <v>103</v>
      </c>
      <c r="B8" s="25">
        <v>1</v>
      </c>
      <c r="C8" s="31">
        <v>400</v>
      </c>
      <c r="F8" s="30" t="s">
        <v>119</v>
      </c>
      <c r="G8" s="25"/>
      <c r="H8" s="28">
        <f>C7+C8</f>
        <v>400</v>
      </c>
      <c r="I8" s="27">
        <f t="shared" ref="I8:I14" si="0">H8-G8</f>
        <v>400</v>
      </c>
      <c r="J8" s="2" t="s">
        <v>14</v>
      </c>
      <c r="K8" s="33">
        <v>400</v>
      </c>
    </row>
    <row r="9" spans="1:11" x14ac:dyDescent="0.2">
      <c r="A9" t="s">
        <v>104</v>
      </c>
      <c r="B9" s="25">
        <v>2</v>
      </c>
      <c r="C9" s="31">
        <v>200</v>
      </c>
      <c r="F9" s="26" t="s">
        <v>120</v>
      </c>
      <c r="G9" s="25">
        <f>C5+C7</f>
        <v>550</v>
      </c>
      <c r="H9" s="28">
        <f>SUM(C9:C12)</f>
        <v>550</v>
      </c>
      <c r="I9" s="27">
        <f t="shared" si="0"/>
        <v>0</v>
      </c>
      <c r="J9" s="32" t="s">
        <v>15</v>
      </c>
      <c r="K9" s="33">
        <v>0</v>
      </c>
    </row>
    <row r="10" spans="1:11" x14ac:dyDescent="0.2">
      <c r="A10" t="s">
        <v>105</v>
      </c>
      <c r="B10" s="25">
        <v>6</v>
      </c>
      <c r="C10" s="31">
        <v>0</v>
      </c>
      <c r="F10" s="26" t="s">
        <v>121</v>
      </c>
      <c r="G10" s="25">
        <f>C6+C8</f>
        <v>450</v>
      </c>
      <c r="H10" s="28">
        <f>SUM(C13:C16)</f>
        <v>450</v>
      </c>
      <c r="I10" s="27">
        <f t="shared" si="0"/>
        <v>0</v>
      </c>
      <c r="J10" s="32" t="s">
        <v>15</v>
      </c>
      <c r="K10" s="33">
        <v>0</v>
      </c>
    </row>
    <row r="11" spans="1:11" x14ac:dyDescent="0.2">
      <c r="A11" t="s">
        <v>106</v>
      </c>
      <c r="B11" s="25">
        <v>3</v>
      </c>
      <c r="C11" s="31">
        <v>350</v>
      </c>
      <c r="F11" s="29" t="s">
        <v>122</v>
      </c>
      <c r="G11" s="25">
        <f>C9+C13</f>
        <v>200</v>
      </c>
      <c r="H11" s="28"/>
      <c r="I11" s="27">
        <f t="shared" si="0"/>
        <v>-200</v>
      </c>
      <c r="J11" s="32" t="s">
        <v>15</v>
      </c>
      <c r="K11" s="33">
        <v>-200</v>
      </c>
    </row>
    <row r="12" spans="1:11" x14ac:dyDescent="0.2">
      <c r="A12" t="s">
        <v>107</v>
      </c>
      <c r="B12" s="25">
        <v>6</v>
      </c>
      <c r="C12" s="31">
        <v>0</v>
      </c>
      <c r="F12" s="29" t="s">
        <v>123</v>
      </c>
      <c r="G12" s="25">
        <f>C10+C14</f>
        <v>150</v>
      </c>
      <c r="H12" s="28"/>
      <c r="I12" s="27">
        <f t="shared" si="0"/>
        <v>-150</v>
      </c>
      <c r="J12" s="32" t="s">
        <v>15</v>
      </c>
      <c r="K12" s="33">
        <v>-150</v>
      </c>
    </row>
    <row r="13" spans="1:11" x14ac:dyDescent="0.2">
      <c r="A13" t="s">
        <v>108</v>
      </c>
      <c r="B13" s="25">
        <v>4</v>
      </c>
      <c r="C13" s="31">
        <v>0</v>
      </c>
      <c r="F13" s="29" t="s">
        <v>124</v>
      </c>
      <c r="G13" s="25">
        <f>C11+C15</f>
        <v>350</v>
      </c>
      <c r="H13" s="28"/>
      <c r="I13" s="27">
        <f t="shared" si="0"/>
        <v>-350</v>
      </c>
      <c r="J13" s="32" t="s">
        <v>15</v>
      </c>
      <c r="K13" s="33">
        <v>-350</v>
      </c>
    </row>
    <row r="14" spans="1:11" x14ac:dyDescent="0.2">
      <c r="A14" t="s">
        <v>109</v>
      </c>
      <c r="B14" s="25">
        <v>4</v>
      </c>
      <c r="C14" s="31">
        <v>150</v>
      </c>
      <c r="F14" s="29" t="s">
        <v>125</v>
      </c>
      <c r="G14" s="25">
        <f>C12+C16</f>
        <v>300</v>
      </c>
      <c r="H14" s="28"/>
      <c r="I14" s="27">
        <f t="shared" si="0"/>
        <v>-300</v>
      </c>
      <c r="J14" s="32" t="s">
        <v>15</v>
      </c>
      <c r="K14" s="33">
        <v>-300</v>
      </c>
    </row>
    <row r="15" spans="1:11" x14ac:dyDescent="0.2">
      <c r="A15" t="s">
        <v>110</v>
      </c>
      <c r="B15" s="25">
        <v>6</v>
      </c>
      <c r="C15" s="31">
        <v>0</v>
      </c>
    </row>
    <row r="16" spans="1:11" x14ac:dyDescent="0.2">
      <c r="A16" t="s">
        <v>111</v>
      </c>
      <c r="B16" s="25">
        <v>5</v>
      </c>
      <c r="C16" s="31">
        <v>300</v>
      </c>
    </row>
    <row r="18" spans="4:7" x14ac:dyDescent="0.2">
      <c r="D18" t="s">
        <v>13</v>
      </c>
      <c r="G18" s="10">
        <f>SUMPRODUCT(B5:B16,C5:C16)</f>
        <v>5200</v>
      </c>
    </row>
  </sheetData>
  <mergeCells count="1">
    <mergeCell ref="G5:H5"/>
  </mergeCells>
  <dataValidations count="2">
    <dataValidation allowBlank="1" showInputMessage="1" showErrorMessage="1" promptTitle="Nodes" prompt="origin nodes: denver, atlanta_x000a_transshipment nodes: Kansas, Louisville_x000a_Destination nodes: Detroit, Miami, Dallas, New Orleans" sqref="A4" xr:uid="{A476F518-A743-CA4B-B607-2E0F5B2C2371}"/>
    <dataValidation allowBlank="1" showInputMessage="1" showErrorMessage="1" promptTitle="net shipments" prompt="flow out - flow in" sqref="I6" xr:uid="{6199F816-A961-0F49-9FAB-256AFF3C5043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9F24-91C3-6040-A208-76ECCB570AFA}">
  <dimension ref="A1:G44"/>
  <sheetViews>
    <sheetView showGridLines="0" tabSelected="1" workbookViewId="0"/>
  </sheetViews>
  <sheetFormatPr baseColWidth="10" defaultRowHeight="16" x14ac:dyDescent="0.2"/>
  <cols>
    <col min="1" max="1" width="2.33203125" customWidth="1"/>
    <col min="2" max="2" width="5.6640625" bestFit="1" customWidth="1"/>
    <col min="3" max="3" width="34.33203125" bestFit="1" customWidth="1"/>
    <col min="4" max="4" width="12.83203125" bestFit="1" customWidth="1"/>
    <col min="5" max="5" width="11.6640625" bestFit="1" customWidth="1"/>
    <col min="6" max="6" width="7.33203125" bestFit="1" customWidth="1"/>
    <col min="7" max="7" width="5.5" bestFit="1" customWidth="1"/>
  </cols>
  <sheetData>
    <row r="1" spans="1:5" x14ac:dyDescent="0.2">
      <c r="A1" s="1" t="s">
        <v>35</v>
      </c>
    </row>
    <row r="2" spans="1:5" x14ac:dyDescent="0.2">
      <c r="A2" s="1" t="s">
        <v>128</v>
      </c>
    </row>
    <row r="3" spans="1:5" x14ac:dyDescent="0.2">
      <c r="A3" s="1" t="s">
        <v>129</v>
      </c>
    </row>
    <row r="4" spans="1:5" x14ac:dyDescent="0.2">
      <c r="A4" s="1" t="s">
        <v>38</v>
      </c>
    </row>
    <row r="5" spans="1:5" x14ac:dyDescent="0.2">
      <c r="A5" s="1" t="s">
        <v>39</v>
      </c>
    </row>
    <row r="6" spans="1:5" x14ac:dyDescent="0.2">
      <c r="A6" s="1"/>
      <c r="B6" t="s">
        <v>40</v>
      </c>
    </row>
    <row r="7" spans="1:5" x14ac:dyDescent="0.2">
      <c r="A7" s="1"/>
      <c r="B7" t="s">
        <v>130</v>
      </c>
    </row>
    <row r="8" spans="1:5" x14ac:dyDescent="0.2">
      <c r="A8" s="1"/>
      <c r="B8" t="s">
        <v>131</v>
      </c>
    </row>
    <row r="9" spans="1:5" x14ac:dyDescent="0.2">
      <c r="A9" s="1" t="s">
        <v>43</v>
      </c>
    </row>
    <row r="10" spans="1:5" x14ac:dyDescent="0.2">
      <c r="B10" t="s">
        <v>132</v>
      </c>
    </row>
    <row r="11" spans="1:5" x14ac:dyDescent="0.2">
      <c r="B11" t="s">
        <v>133</v>
      </c>
    </row>
    <row r="14" spans="1:5" ht="17" thickBot="1" x14ac:dyDescent="0.25">
      <c r="A14" t="s">
        <v>46</v>
      </c>
    </row>
    <row r="15" spans="1:5" ht="17" thickBot="1" x14ac:dyDescent="0.25">
      <c r="B15" s="20" t="s">
        <v>47</v>
      </c>
      <c r="C15" s="20" t="s">
        <v>48</v>
      </c>
      <c r="D15" s="20" t="s">
        <v>49</v>
      </c>
      <c r="E15" s="20" t="s">
        <v>50</v>
      </c>
    </row>
    <row r="16" spans="1:5" ht="17" thickBot="1" x14ac:dyDescent="0.25">
      <c r="B16" s="19" t="s">
        <v>134</v>
      </c>
      <c r="C16" s="19" t="s">
        <v>135</v>
      </c>
      <c r="D16" s="22">
        <v>0</v>
      </c>
      <c r="E16" s="22">
        <v>5200</v>
      </c>
    </row>
    <row r="19" spans="1:6" ht="17" thickBot="1" x14ac:dyDescent="0.25">
      <c r="A19" t="s">
        <v>51</v>
      </c>
    </row>
    <row r="20" spans="1:6" ht="17" thickBot="1" x14ac:dyDescent="0.25">
      <c r="B20" s="20" t="s">
        <v>47</v>
      </c>
      <c r="C20" s="20" t="s">
        <v>48</v>
      </c>
      <c r="D20" s="20" t="s">
        <v>49</v>
      </c>
      <c r="E20" s="20" t="s">
        <v>50</v>
      </c>
      <c r="F20" s="20" t="s">
        <v>52</v>
      </c>
    </row>
    <row r="21" spans="1:6" x14ac:dyDescent="0.2">
      <c r="B21" s="21" t="s">
        <v>136</v>
      </c>
      <c r="C21" s="21" t="s">
        <v>137</v>
      </c>
      <c r="D21" s="23">
        <v>0</v>
      </c>
      <c r="E21" s="23">
        <v>550</v>
      </c>
      <c r="F21" s="21" t="s">
        <v>61</v>
      </c>
    </row>
    <row r="22" spans="1:6" x14ac:dyDescent="0.2">
      <c r="B22" s="21" t="s">
        <v>138</v>
      </c>
      <c r="C22" s="21" t="s">
        <v>139</v>
      </c>
      <c r="D22" s="23">
        <v>0</v>
      </c>
      <c r="E22" s="23">
        <v>50</v>
      </c>
      <c r="F22" s="21" t="s">
        <v>61</v>
      </c>
    </row>
    <row r="23" spans="1:6" x14ac:dyDescent="0.2">
      <c r="B23" s="21" t="s">
        <v>140</v>
      </c>
      <c r="C23" s="21" t="s">
        <v>141</v>
      </c>
      <c r="D23" s="23">
        <v>0</v>
      </c>
      <c r="E23" s="23">
        <v>0</v>
      </c>
      <c r="F23" s="21" t="s">
        <v>61</v>
      </c>
    </row>
    <row r="24" spans="1:6" x14ac:dyDescent="0.2">
      <c r="B24" s="21" t="s">
        <v>142</v>
      </c>
      <c r="C24" s="21" t="s">
        <v>143</v>
      </c>
      <c r="D24" s="23">
        <v>0</v>
      </c>
      <c r="E24" s="23">
        <v>400</v>
      </c>
      <c r="F24" s="21" t="s">
        <v>61</v>
      </c>
    </row>
    <row r="25" spans="1:6" x14ac:dyDescent="0.2">
      <c r="B25" s="21" t="s">
        <v>144</v>
      </c>
      <c r="C25" s="21" t="s">
        <v>145</v>
      </c>
      <c r="D25" s="23">
        <v>0</v>
      </c>
      <c r="E25" s="23">
        <v>200</v>
      </c>
      <c r="F25" s="21" t="s">
        <v>61</v>
      </c>
    </row>
    <row r="26" spans="1:6" x14ac:dyDescent="0.2">
      <c r="B26" s="21" t="s">
        <v>146</v>
      </c>
      <c r="C26" s="21" t="s">
        <v>147</v>
      </c>
      <c r="D26" s="23">
        <v>0</v>
      </c>
      <c r="E26" s="23">
        <v>0</v>
      </c>
      <c r="F26" s="21" t="s">
        <v>61</v>
      </c>
    </row>
    <row r="27" spans="1:6" x14ac:dyDescent="0.2">
      <c r="B27" s="21" t="s">
        <v>148</v>
      </c>
      <c r="C27" s="21" t="s">
        <v>149</v>
      </c>
      <c r="D27" s="23">
        <v>0</v>
      </c>
      <c r="E27" s="23">
        <v>350</v>
      </c>
      <c r="F27" s="21" t="s">
        <v>61</v>
      </c>
    </row>
    <row r="28" spans="1:6" x14ac:dyDescent="0.2">
      <c r="B28" s="21" t="s">
        <v>58</v>
      </c>
      <c r="C28" s="21" t="s">
        <v>150</v>
      </c>
      <c r="D28" s="23">
        <v>0</v>
      </c>
      <c r="E28" s="23">
        <v>0</v>
      </c>
      <c r="F28" s="21" t="s">
        <v>61</v>
      </c>
    </row>
    <row r="29" spans="1:6" x14ac:dyDescent="0.2">
      <c r="B29" s="21" t="s">
        <v>151</v>
      </c>
      <c r="C29" s="21" t="s">
        <v>152</v>
      </c>
      <c r="D29" s="23">
        <v>0</v>
      </c>
      <c r="E29" s="23">
        <v>0</v>
      </c>
      <c r="F29" s="21" t="s">
        <v>61</v>
      </c>
    </row>
    <row r="30" spans="1:6" x14ac:dyDescent="0.2">
      <c r="B30" s="21" t="s">
        <v>153</v>
      </c>
      <c r="C30" s="21" t="s">
        <v>154</v>
      </c>
      <c r="D30" s="23">
        <v>0</v>
      </c>
      <c r="E30" s="23">
        <v>150</v>
      </c>
      <c r="F30" s="21" t="s">
        <v>61</v>
      </c>
    </row>
    <row r="31" spans="1:6" x14ac:dyDescent="0.2">
      <c r="B31" s="21" t="s">
        <v>155</v>
      </c>
      <c r="C31" s="21" t="s">
        <v>156</v>
      </c>
      <c r="D31" s="23">
        <v>0</v>
      </c>
      <c r="E31" s="23">
        <v>0</v>
      </c>
      <c r="F31" s="21" t="s">
        <v>61</v>
      </c>
    </row>
    <row r="32" spans="1:6" ht="17" thickBot="1" x14ac:dyDescent="0.25">
      <c r="B32" s="19" t="s">
        <v>62</v>
      </c>
      <c r="C32" s="19" t="s">
        <v>157</v>
      </c>
      <c r="D32" s="22">
        <v>0</v>
      </c>
      <c r="E32" s="22">
        <v>300</v>
      </c>
      <c r="F32" s="19" t="s">
        <v>61</v>
      </c>
    </row>
    <row r="35" spans="1:7" ht="17" thickBot="1" x14ac:dyDescent="0.25">
      <c r="A35" t="s">
        <v>53</v>
      </c>
    </row>
    <row r="36" spans="1:7" ht="17" thickBot="1" x14ac:dyDescent="0.25">
      <c r="B36" s="20" t="s">
        <v>47</v>
      </c>
      <c r="C36" s="20" t="s">
        <v>48</v>
      </c>
      <c r="D36" s="20" t="s">
        <v>54</v>
      </c>
      <c r="E36" s="20" t="s">
        <v>55</v>
      </c>
      <c r="F36" s="20" t="s">
        <v>56</v>
      </c>
      <c r="G36" s="20" t="s">
        <v>57</v>
      </c>
    </row>
    <row r="37" spans="1:7" x14ac:dyDescent="0.2">
      <c r="B37" s="21" t="s">
        <v>158</v>
      </c>
      <c r="C37" s="21" t="s">
        <v>159</v>
      </c>
      <c r="D37" s="23">
        <v>600</v>
      </c>
      <c r="E37" s="21" t="s">
        <v>160</v>
      </c>
      <c r="F37" s="21" t="s">
        <v>81</v>
      </c>
      <c r="G37" s="21">
        <v>0</v>
      </c>
    </row>
    <row r="38" spans="1:7" x14ac:dyDescent="0.2">
      <c r="B38" s="21" t="s">
        <v>161</v>
      </c>
      <c r="C38" s="21" t="s">
        <v>162</v>
      </c>
      <c r="D38" s="23">
        <v>400</v>
      </c>
      <c r="E38" s="21" t="s">
        <v>163</v>
      </c>
      <c r="F38" s="21" t="s">
        <v>81</v>
      </c>
      <c r="G38" s="21">
        <v>0</v>
      </c>
    </row>
    <row r="39" spans="1:7" x14ac:dyDescent="0.2">
      <c r="B39" s="21" t="s">
        <v>164</v>
      </c>
      <c r="C39" s="21" t="s">
        <v>165</v>
      </c>
      <c r="D39" s="23">
        <v>0</v>
      </c>
      <c r="E39" s="21" t="s">
        <v>166</v>
      </c>
      <c r="F39" s="21" t="s">
        <v>81</v>
      </c>
      <c r="G39" s="21">
        <v>0</v>
      </c>
    </row>
    <row r="40" spans="1:7" x14ac:dyDescent="0.2">
      <c r="B40" s="21" t="s">
        <v>167</v>
      </c>
      <c r="C40" s="21" t="s">
        <v>168</v>
      </c>
      <c r="D40" s="23">
        <v>0</v>
      </c>
      <c r="E40" s="21" t="s">
        <v>169</v>
      </c>
      <c r="F40" s="21" t="s">
        <v>81</v>
      </c>
      <c r="G40" s="21">
        <v>0</v>
      </c>
    </row>
    <row r="41" spans="1:7" x14ac:dyDescent="0.2">
      <c r="B41" s="21" t="s">
        <v>170</v>
      </c>
      <c r="C41" s="21" t="s">
        <v>171</v>
      </c>
      <c r="D41" s="23">
        <v>-200</v>
      </c>
      <c r="E41" s="21" t="s">
        <v>172</v>
      </c>
      <c r="F41" s="21" t="s">
        <v>81</v>
      </c>
      <c r="G41" s="21">
        <v>0</v>
      </c>
    </row>
    <row r="42" spans="1:7" x14ac:dyDescent="0.2">
      <c r="B42" s="21" t="s">
        <v>173</v>
      </c>
      <c r="C42" s="21" t="s">
        <v>174</v>
      </c>
      <c r="D42" s="23">
        <v>-150</v>
      </c>
      <c r="E42" s="21" t="s">
        <v>175</v>
      </c>
      <c r="F42" s="21" t="s">
        <v>81</v>
      </c>
      <c r="G42" s="21">
        <v>0</v>
      </c>
    </row>
    <row r="43" spans="1:7" x14ac:dyDescent="0.2">
      <c r="B43" s="21" t="s">
        <v>176</v>
      </c>
      <c r="C43" s="21" t="s">
        <v>177</v>
      </c>
      <c r="D43" s="23">
        <v>-350</v>
      </c>
      <c r="E43" s="21" t="s">
        <v>178</v>
      </c>
      <c r="F43" s="21" t="s">
        <v>81</v>
      </c>
      <c r="G43" s="21">
        <v>0</v>
      </c>
    </row>
    <row r="44" spans="1:7" ht="17" thickBot="1" x14ac:dyDescent="0.25">
      <c r="B44" s="19" t="s">
        <v>179</v>
      </c>
      <c r="C44" s="19" t="s">
        <v>180</v>
      </c>
      <c r="D44" s="22">
        <v>-300</v>
      </c>
      <c r="E44" s="19" t="s">
        <v>181</v>
      </c>
      <c r="F44" s="19" t="s">
        <v>81</v>
      </c>
      <c r="G44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TransportationFosterGenerators</vt:lpstr>
      <vt:lpstr>AssignmntFowleMarketingResearch</vt:lpstr>
      <vt:lpstr>Ans_Report_Fowle_Marketing</vt:lpstr>
      <vt:lpstr>transshipment_RyanElectronics</vt:lpstr>
      <vt:lpstr>Ans_Report_RyanElectronics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2026-04-16T17:31:06Z</dcterms:created>
  <dcterms:modified xsi:type="dcterms:W3CDTF">2026-04-17T10:05:43Z</dcterms:modified>
</cp:coreProperties>
</file>